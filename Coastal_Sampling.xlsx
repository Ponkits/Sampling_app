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ccloud-my.sharepoint.com/personal/alexandrep_spc_int/Documents/Documents/Data/Sampling/"/>
    </mc:Choice>
  </mc:AlternateContent>
  <xr:revisionPtr revIDLastSave="1329" documentId="8_{8C30C6C2-97FD-4660-8A3F-B658A902C84C}" xr6:coauthVersionLast="47" xr6:coauthVersionMax="47" xr10:uidLastSave="{347CF0F5-9530-4239-BC47-CC93135A2598}"/>
  <bookViews>
    <workbookView xWindow="-120" yWindow="-120" windowWidth="29040" windowHeight="15720" xr2:uid="{252017EE-F8BF-4CF1-954C-00FCADC9A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" i="1"/>
</calcChain>
</file>

<file path=xl/sharedStrings.xml><?xml version="1.0" encoding="utf-8"?>
<sst xmlns="http://schemas.openxmlformats.org/spreadsheetml/2006/main" count="1761" uniqueCount="275">
  <si>
    <t>Fish code</t>
  </si>
  <si>
    <t>Species key</t>
  </si>
  <si>
    <t>Date</t>
  </si>
  <si>
    <t>Location</t>
  </si>
  <si>
    <t>Source</t>
  </si>
  <si>
    <t>Depth (m)</t>
  </si>
  <si>
    <t>Method</t>
  </si>
  <si>
    <t>Collection Description</t>
  </si>
  <si>
    <t>Latitude</t>
  </si>
  <si>
    <t>Longitude</t>
  </si>
  <si>
    <t>TL (mm)</t>
  </si>
  <si>
    <t>FL (mm)</t>
  </si>
  <si>
    <t>SL (mm)</t>
  </si>
  <si>
    <t>HL (mm)</t>
  </si>
  <si>
    <t>JL (mm)</t>
  </si>
  <si>
    <t>Whole Weight (g)</t>
  </si>
  <si>
    <t>Sex</t>
  </si>
  <si>
    <t>Macro Stage</t>
  </si>
  <si>
    <t>Micro Stage</t>
  </si>
  <si>
    <t>Gonad Weight Preserved</t>
  </si>
  <si>
    <t>Otoliths</t>
  </si>
  <si>
    <t>Comments</t>
  </si>
  <si>
    <t>Genetics</t>
  </si>
  <si>
    <t>Stomach Intact</t>
  </si>
  <si>
    <t>Stomach Content</t>
  </si>
  <si>
    <t>NC</t>
  </si>
  <si>
    <t/>
  </si>
  <si>
    <t>Line</t>
  </si>
  <si>
    <t>PLE</t>
  </si>
  <si>
    <t>EEZ</t>
  </si>
  <si>
    <t>Noumea</t>
  </si>
  <si>
    <t>Fishery sector</t>
  </si>
  <si>
    <t>Recreational</t>
  </si>
  <si>
    <t>Collected from Caroline Sanchez</t>
  </si>
  <si>
    <t>Species</t>
  </si>
  <si>
    <t>Plectropomus leopardus</t>
  </si>
  <si>
    <t>ECY250717-01</t>
  </si>
  <si>
    <t>ECY</t>
  </si>
  <si>
    <t>Epinephelus cyanopodus</t>
  </si>
  <si>
    <t>U</t>
  </si>
  <si>
    <t>ECY250717-02</t>
  </si>
  <si>
    <t>ECY250717-03</t>
  </si>
  <si>
    <t>PLE250717-01</t>
  </si>
  <si>
    <t>PLE250717-02</t>
  </si>
  <si>
    <t>PLE250717-03</t>
  </si>
  <si>
    <t>Symphorus nematophorus</t>
  </si>
  <si>
    <t>Aprion virescens</t>
  </si>
  <si>
    <t>APR</t>
  </si>
  <si>
    <t>SYM</t>
  </si>
  <si>
    <t>SYM250729</t>
  </si>
  <si>
    <t>F</t>
  </si>
  <si>
    <t>PAR250729-01</t>
  </si>
  <si>
    <t>EMA250807-01</t>
  </si>
  <si>
    <t>APR250729-01</t>
  </si>
  <si>
    <t>EMA</t>
  </si>
  <si>
    <t>Epinephelus malabaricus</t>
  </si>
  <si>
    <t>Passe Dumbea</t>
  </si>
  <si>
    <t>Liver, Eyes, muscle and stomach kept</t>
  </si>
  <si>
    <t>Maturity training survey</t>
  </si>
  <si>
    <t>Marché de Nouméa</t>
  </si>
  <si>
    <t>r16801</t>
  </si>
  <si>
    <t>r16806</t>
  </si>
  <si>
    <t>r16813</t>
  </si>
  <si>
    <t>r16814</t>
  </si>
  <si>
    <t>r16821</t>
  </si>
  <si>
    <t>r16845</t>
  </si>
  <si>
    <t>r16810</t>
  </si>
  <si>
    <t>r16807</t>
  </si>
  <si>
    <t>r16805</t>
  </si>
  <si>
    <t>r16812</t>
  </si>
  <si>
    <t>r16824</t>
  </si>
  <si>
    <t>r16820</t>
  </si>
  <si>
    <t>r16819</t>
  </si>
  <si>
    <t>r16808</t>
  </si>
  <si>
    <t>r16818</t>
  </si>
  <si>
    <t>r16817</t>
  </si>
  <si>
    <t>r16802</t>
  </si>
  <si>
    <t>r16815</t>
  </si>
  <si>
    <t>r16803</t>
  </si>
  <si>
    <t>r16823</t>
  </si>
  <si>
    <t>r16811</t>
  </si>
  <si>
    <t>r16816</t>
  </si>
  <si>
    <t>r16809</t>
  </si>
  <si>
    <t>r16825</t>
  </si>
  <si>
    <t>r16804</t>
  </si>
  <si>
    <t>Lutjanus adetii</t>
  </si>
  <si>
    <t>Lutjanus gibbus</t>
  </si>
  <si>
    <t>Hipposcarus longiceps</t>
  </si>
  <si>
    <t>Epinephelus polyphekadion</t>
  </si>
  <si>
    <t>Crenimugil seheli</t>
  </si>
  <si>
    <t>Acanthurus xanthopterus</t>
  </si>
  <si>
    <t>Scarus rivulatus</t>
  </si>
  <si>
    <t>Naso unicornis</t>
  </si>
  <si>
    <t>Priacanthus hamrur</t>
  </si>
  <si>
    <t>Professional</t>
  </si>
  <si>
    <t>M</t>
  </si>
  <si>
    <t>Otolith</t>
  </si>
  <si>
    <t>Gonads</t>
  </si>
  <si>
    <t>LEM250928</t>
  </si>
  <si>
    <t>LEM</t>
  </si>
  <si>
    <t>Lethrinus miniatus</t>
  </si>
  <si>
    <t>Lagon sud</t>
  </si>
  <si>
    <t>Jig</t>
  </si>
  <si>
    <t>Myriam</t>
  </si>
  <si>
    <t>PLA251014_01</t>
  </si>
  <si>
    <t>PLA</t>
  </si>
  <si>
    <t>Plectropomus laevis</t>
  </si>
  <si>
    <t>Gaspard Heutte</t>
  </si>
  <si>
    <t>COM250926_01</t>
  </si>
  <si>
    <t>COM250926_02</t>
  </si>
  <si>
    <t>COM</t>
  </si>
  <si>
    <t>Scomberomorus commerson</t>
  </si>
  <si>
    <t>Nick</t>
  </si>
  <si>
    <t>Gonad Weight (g)</t>
  </si>
  <si>
    <t>&lt;1</t>
  </si>
  <si>
    <t>YES</t>
  </si>
  <si>
    <t>COM251028_01</t>
  </si>
  <si>
    <t>Simon</t>
  </si>
  <si>
    <t>2B</t>
  </si>
  <si>
    <t>NO</t>
  </si>
  <si>
    <t>Eyelens</t>
  </si>
  <si>
    <t>2G</t>
  </si>
  <si>
    <t>1G</t>
  </si>
  <si>
    <t>1B</t>
  </si>
  <si>
    <t>r16822</t>
  </si>
  <si>
    <t>COM251030_01</t>
  </si>
  <si>
    <t>COM251030_02</t>
  </si>
  <si>
    <t>COM251030_03</t>
  </si>
  <si>
    <t>LEM251030_01</t>
  </si>
  <si>
    <t>CFV251030_01</t>
  </si>
  <si>
    <t>CGM251030_01</t>
  </si>
  <si>
    <t>CFV</t>
  </si>
  <si>
    <t>CGM</t>
  </si>
  <si>
    <t>Carangoides fulvoguttatus</t>
  </si>
  <si>
    <t>Carangoides gymnostethus</t>
  </si>
  <si>
    <t>Adam</t>
  </si>
  <si>
    <t>1B1G</t>
  </si>
  <si>
    <t>PLE251109_01</t>
  </si>
  <si>
    <t>PLE251109_02</t>
  </si>
  <si>
    <t>PLE251109_03</t>
  </si>
  <si>
    <t>PLE251109_04</t>
  </si>
  <si>
    <t>Prony</t>
  </si>
  <si>
    <t>Spearfising</t>
  </si>
  <si>
    <t>Alex/Joe</t>
  </si>
  <si>
    <t>No sample</t>
  </si>
  <si>
    <t>LEM251109_01</t>
  </si>
  <si>
    <t>LAT251109_01</t>
  </si>
  <si>
    <t>LAT251109_02</t>
  </si>
  <si>
    <t>LAT251109_03</t>
  </si>
  <si>
    <t>GEU251109_01</t>
  </si>
  <si>
    <t>GEU251109_02</t>
  </si>
  <si>
    <t>GEU251109_03</t>
  </si>
  <si>
    <t>COM251109_01</t>
  </si>
  <si>
    <t>COM251109_02</t>
  </si>
  <si>
    <t>COM251109_03</t>
  </si>
  <si>
    <t>LAT</t>
  </si>
  <si>
    <t>GEU</t>
  </si>
  <si>
    <t>Lethrinus atkinsoni</t>
  </si>
  <si>
    <t>Gymnocranius euanus</t>
  </si>
  <si>
    <t>Jeff/Adam</t>
  </si>
  <si>
    <t>Head only</t>
  </si>
  <si>
    <t>PLE251111_01</t>
  </si>
  <si>
    <t>EMC251111_01</t>
  </si>
  <si>
    <t>EMC</t>
  </si>
  <si>
    <t>Epinephelus maculatus</t>
  </si>
  <si>
    <t>Lucas</t>
  </si>
  <si>
    <t>LAT251107_01</t>
  </si>
  <si>
    <t>LAT251107_02</t>
  </si>
  <si>
    <t>ECY251107_01</t>
  </si>
  <si>
    <t>VLO251107_01</t>
  </si>
  <si>
    <t>EMC251107_01</t>
  </si>
  <si>
    <t>EMC251107_02</t>
  </si>
  <si>
    <t>EMC251107_03</t>
  </si>
  <si>
    <t>EMC251107_04</t>
  </si>
  <si>
    <t>EMC251107_05</t>
  </si>
  <si>
    <t>APR251107_01</t>
  </si>
  <si>
    <t>APR251107_02</t>
  </si>
  <si>
    <t>PBA251107_01</t>
  </si>
  <si>
    <t>GEU251107_01</t>
  </si>
  <si>
    <t>GOB251107_01</t>
  </si>
  <si>
    <t>VLO</t>
  </si>
  <si>
    <t>PBA</t>
  </si>
  <si>
    <t>GOB</t>
  </si>
  <si>
    <t>Variola louti</t>
  </si>
  <si>
    <t>Parupeneus barberinus</t>
  </si>
  <si>
    <t>Scarrus ghobban</t>
  </si>
  <si>
    <t>Joseph</t>
  </si>
  <si>
    <t>LUI SAMPLING</t>
  </si>
  <si>
    <t>COM251114_01</t>
  </si>
  <si>
    <t>COM251114_02</t>
  </si>
  <si>
    <t>COM251114_03</t>
  </si>
  <si>
    <t>Nick/Jeff</t>
  </si>
  <si>
    <t>COM251115_01</t>
  </si>
  <si>
    <t>COM251115_02</t>
  </si>
  <si>
    <t>PLE251115_01</t>
  </si>
  <si>
    <t>PLE251115_02</t>
  </si>
  <si>
    <t>COM251116_01</t>
  </si>
  <si>
    <t>COM251116_02</t>
  </si>
  <si>
    <t>COM251116_03</t>
  </si>
  <si>
    <t>PLA251116_01</t>
  </si>
  <si>
    <t>PLE251116_01</t>
  </si>
  <si>
    <t>PLE251116_02</t>
  </si>
  <si>
    <t>PLE251116_03</t>
  </si>
  <si>
    <t>PLE251116_04</t>
  </si>
  <si>
    <t>Tupeti island Thio</t>
  </si>
  <si>
    <t>Jeff</t>
  </si>
  <si>
    <t>Seb</t>
  </si>
  <si>
    <t>Nick/Matt</t>
  </si>
  <si>
    <t>EMO251127_01</t>
  </si>
  <si>
    <t>EMO</t>
  </si>
  <si>
    <t>LTT251127_01</t>
  </si>
  <si>
    <t>EPV251127_01</t>
  </si>
  <si>
    <t>EPV251127_02</t>
  </si>
  <si>
    <t>EPV251127_03</t>
  </si>
  <si>
    <t>EPV251127_04</t>
  </si>
  <si>
    <t>HJZ251127_01</t>
  </si>
  <si>
    <t>HJZ251127_02</t>
  </si>
  <si>
    <t>LHB251127_01</t>
  </si>
  <si>
    <t>LHB251127_02</t>
  </si>
  <si>
    <t>LHB251127_03</t>
  </si>
  <si>
    <t>EPT251127_01</t>
  </si>
  <si>
    <t>EER251127_01</t>
  </si>
  <si>
    <t>DGP251127_01</t>
  </si>
  <si>
    <t>LTT</t>
  </si>
  <si>
    <t>EPV</t>
  </si>
  <si>
    <t>HJZ</t>
  </si>
  <si>
    <t>LHB</t>
  </si>
  <si>
    <t>EPT</t>
  </si>
  <si>
    <t>EER</t>
  </si>
  <si>
    <t>DGP</t>
  </si>
  <si>
    <t>Epinephelus rivulatus</t>
  </si>
  <si>
    <t>Lethrinus rubrioperculatus</t>
  </si>
  <si>
    <t>Epinephelus tauvina</t>
  </si>
  <si>
    <t>Epinephelus merra</t>
  </si>
  <si>
    <t>Diagramma pictum</t>
  </si>
  <si>
    <t>Alex/Joe/Nick</t>
  </si>
  <si>
    <t>0.97</t>
  </si>
  <si>
    <t>13.61</t>
  </si>
  <si>
    <t>16.65</t>
  </si>
  <si>
    <t>0.51</t>
  </si>
  <si>
    <t>0.23</t>
  </si>
  <si>
    <t>7.47</t>
  </si>
  <si>
    <t>4.71</t>
  </si>
  <si>
    <t>13.11</t>
  </si>
  <si>
    <t>Gonad histology</t>
  </si>
  <si>
    <t>LEM251109_02</t>
  </si>
  <si>
    <t>LEM251109_03</t>
  </si>
  <si>
    <t>LEM251109_04</t>
  </si>
  <si>
    <t>LEM251109_05</t>
  </si>
  <si>
    <t>LEM251109_06</t>
  </si>
  <si>
    <t>LEM251109_07</t>
  </si>
  <si>
    <t>LEM251109_08</t>
  </si>
  <si>
    <t>CIG251123_01</t>
  </si>
  <si>
    <t>EMA251123_01</t>
  </si>
  <si>
    <t>CIG</t>
  </si>
  <si>
    <t>Caranx ignobilis</t>
  </si>
  <si>
    <t>Epinepelus malabaricus</t>
  </si>
  <si>
    <t>Tontouta</t>
  </si>
  <si>
    <t>EMC251109_01</t>
  </si>
  <si>
    <t>I</t>
  </si>
  <si>
    <t>COM251130_01</t>
  </si>
  <si>
    <t>PWT251130_01</t>
  </si>
  <si>
    <t>PWT</t>
  </si>
  <si>
    <t>Cetoscarus ocellatus</t>
  </si>
  <si>
    <t>Moindou</t>
  </si>
  <si>
    <t>Daryl Legarrec</t>
  </si>
  <si>
    <t>LDW</t>
  </si>
  <si>
    <t>SCC</t>
  </si>
  <si>
    <t>EEK</t>
  </si>
  <si>
    <t>VMH</t>
  </si>
  <si>
    <t>DZU</t>
  </si>
  <si>
    <t>NAS</t>
  </si>
  <si>
    <t>BWH</t>
  </si>
  <si>
    <t>SCR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</si>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</sst>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0" fontId="2" fillId="0" borderId="0" xfId="1"/>
    <xf numFmtId="14" fontId="1" fillId="0" borderId="2" xfId="1" applyNumberFormat="1" applyFont="1" applyBorder="1" applyAlignment="1">
      <alignment horizontal="right"/>
    </xf>
    <xf numFmtId="14" fontId="0" fillId="0" borderId="0" xfId="0" applyNumberFormat="1"/>
    <xf numFmtId="0" fontId="1" fillId="0" borderId="0" xfId="1" applyFont="1"/>
    <xf numFmtId="0" fontId="1" fillId="0" borderId="3" xfId="1" applyFont="1" applyBorder="1"/>
    <xf numFmtId="0" fontId="1" fillId="2" borderId="4" xfId="1" applyFont="1" applyFill="1" applyBorder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5" fillId="0" borderId="3" xfId="1" applyFont="1" applyBorder="1"/>
    <xf numFmtId="0" fontId="6" fillId="0" borderId="0" xfId="0" applyFont="1"/>
    <xf numFmtId="12" fontId="0" fillId="0" borderId="0" xfId="0" applyNumberFormat="1"/>
    <xf numFmtId="0" fontId="5" fillId="0" borderId="0" xfId="1" applyFont="1"/>
    <xf numFmtId="0" fontId="4" fillId="0" borderId="5" xfId="0" applyFont="1" applyBorder="1"/>
    <xf numFmtId="0" fontId="0" fillId="0" borderId="5" xfId="0" applyBorder="1"/>
    <xf numFmtId="14" fontId="0" fillId="0" borderId="5" xfId="0" applyNumberFormat="1" applyBorder="1"/>
    <xf numFmtId="0" fontId="5" fillId="0" borderId="6" xfId="1" applyFont="1" applyBorder="1"/>
    <xf numFmtId="0" fontId="1" fillId="0" borderId="6" xfId="1" applyFont="1" applyBorder="1"/>
    <xf numFmtId="0" fontId="4" fillId="0" borderId="7" xfId="0" applyFont="1" applyBorder="1"/>
    <xf numFmtId="14" fontId="1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_Sheet1" xfId="1" xr:uid="{2F6C019A-2DBA-4741-A188-86CBC5BE49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41BC-1ACA-4B8E-AB7D-10E8646FF5BB}">
  <dimension ref="A1:AF121"/>
  <sheetViews>
    <sheetView tabSelected="1" zoomScale="103" workbookViewId="0">
      <pane ySplit="1" topLeftCell="A92" activePane="bottomLeft" state="frozen"/>
      <selection pane="bottomLeft" activeCell="C101" sqref="C101"/>
    </sheetView>
  </sheetViews>
  <sheetFormatPr baseColWidth="10" defaultColWidth="8.7109375" defaultRowHeight="15" x14ac:dyDescent="0.25"/>
  <cols>
    <col min="1" max="1" width="13.7109375" bestFit="1" customWidth="1"/>
    <col min="2" max="2" width="12.28515625" customWidth="1"/>
    <col min="3" max="3" width="24.28515625" customWidth="1"/>
    <col min="4" max="5" width="10.42578125" style="6" customWidth="1"/>
    <col min="6" max="6" width="6.85546875" customWidth="1"/>
    <col min="7" max="7" width="8.140625" customWidth="1"/>
    <col min="8" max="8" width="12.85546875" customWidth="1"/>
    <col min="9" max="9" width="11.85546875" customWidth="1"/>
    <col min="10" max="10" width="9.5703125" customWidth="1"/>
    <col min="11" max="11" width="7.5703125" customWidth="1"/>
    <col min="12" max="12" width="28.85546875" customWidth="1"/>
    <col min="13" max="13" width="9.42578125" customWidth="1"/>
    <col min="14" max="14" width="11.85546875" customWidth="1"/>
    <col min="15" max="17" width="7.7109375" customWidth="1"/>
    <col min="18" max="18" width="8" customWidth="1"/>
    <col min="19" max="19" width="7.42578125" customWidth="1"/>
    <col min="20" max="20" width="15.85546875" customWidth="1"/>
    <col min="21" max="21" width="3.85546875" customWidth="1"/>
    <col min="22" max="22" width="14.28515625" customWidth="1"/>
    <col min="23" max="23" width="6.5703125" customWidth="1"/>
    <col min="24" max="24" width="13.140625" customWidth="1"/>
    <col min="25" max="25" width="11.140625" customWidth="1"/>
    <col min="26" max="26" width="16.7109375" customWidth="1"/>
    <col min="27" max="27" width="10.140625" customWidth="1"/>
    <col min="28" max="28" width="8.28515625" bestFit="1" customWidth="1"/>
    <col min="29" max="29" width="8.28515625" customWidth="1"/>
    <col min="30" max="30" width="13.42578125" bestFit="1" customWidth="1"/>
    <col min="31" max="31" width="15.5703125" bestFit="1" customWidth="1"/>
    <col min="32" max="32" width="9.140625" bestFit="1" customWidth="1"/>
  </cols>
  <sheetData>
    <row r="1" spans="1:32" x14ac:dyDescent="0.25">
      <c r="A1" s="1" t="s">
        <v>0</v>
      </c>
      <c r="B1" s="1" t="s">
        <v>1</v>
      </c>
      <c r="C1" s="1" t="s">
        <v>34</v>
      </c>
      <c r="D1" s="22" t="s">
        <v>2</v>
      </c>
      <c r="E1" s="22" t="s">
        <v>274</v>
      </c>
      <c r="F1" s="1" t="s">
        <v>29</v>
      </c>
      <c r="G1" s="1" t="s">
        <v>3</v>
      </c>
      <c r="H1" s="1" t="s">
        <v>31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113</v>
      </c>
      <c r="Y1" s="1" t="s">
        <v>19</v>
      </c>
      <c r="Z1" s="1" t="s">
        <v>20</v>
      </c>
      <c r="AA1" s="1" t="s">
        <v>120</v>
      </c>
      <c r="AB1" s="1" t="s">
        <v>22</v>
      </c>
      <c r="AC1" s="1" t="s">
        <v>244</v>
      </c>
      <c r="AD1" s="1" t="s">
        <v>23</v>
      </c>
      <c r="AE1" s="1" t="s">
        <v>24</v>
      </c>
      <c r="AF1" s="9" t="s">
        <v>21</v>
      </c>
    </row>
    <row r="2" spans="1:32" x14ac:dyDescent="0.25">
      <c r="A2" s="2" t="s">
        <v>36</v>
      </c>
      <c r="B2" s="2" t="s">
        <v>37</v>
      </c>
      <c r="C2" s="2" t="s">
        <v>38</v>
      </c>
      <c r="D2" s="5">
        <v>45855</v>
      </c>
      <c r="E2" s="5" t="str">
        <f>TEXT(D2,"mmmm")</f>
        <v>juillet</v>
      </c>
      <c r="F2" s="2" t="s">
        <v>25</v>
      </c>
      <c r="G2" s="2" t="s">
        <v>30</v>
      </c>
      <c r="H2" s="2" t="s">
        <v>32</v>
      </c>
      <c r="I2" s="2" t="s">
        <v>32</v>
      </c>
      <c r="J2" s="4"/>
      <c r="K2" s="2" t="s">
        <v>27</v>
      </c>
      <c r="L2" s="2" t="s">
        <v>33</v>
      </c>
      <c r="M2" s="3">
        <v>-20.541250000000002</v>
      </c>
      <c r="N2" s="3">
        <v>116.5357666</v>
      </c>
      <c r="O2" s="3">
        <v>505</v>
      </c>
      <c r="P2" s="3">
        <v>494</v>
      </c>
      <c r="Q2" s="4"/>
      <c r="R2" s="4"/>
      <c r="S2" s="4"/>
      <c r="T2" s="3"/>
      <c r="U2" s="2" t="s">
        <v>39</v>
      </c>
      <c r="V2" s="3"/>
      <c r="W2" s="4"/>
      <c r="X2" s="3"/>
      <c r="Y2" s="4"/>
      <c r="Z2" s="2" t="s">
        <v>122</v>
      </c>
      <c r="AA2" s="2" t="s">
        <v>119</v>
      </c>
      <c r="AB2" s="2" t="s">
        <v>119</v>
      </c>
      <c r="AC2" s="2" t="s">
        <v>119</v>
      </c>
      <c r="AD2" s="2" t="s">
        <v>26</v>
      </c>
      <c r="AE2" s="2" t="s">
        <v>26</v>
      </c>
    </row>
    <row r="3" spans="1:32" x14ac:dyDescent="0.25">
      <c r="A3" s="2" t="s">
        <v>40</v>
      </c>
      <c r="B3" s="2" t="s">
        <v>37</v>
      </c>
      <c r="C3" s="2" t="s">
        <v>38</v>
      </c>
      <c r="D3" s="6">
        <v>45855</v>
      </c>
      <c r="E3" s="5" t="str">
        <f t="shared" ref="E3:E66" si="0">TEXT(D3,"mmmm")</f>
        <v>juillet</v>
      </c>
      <c r="F3" s="2" t="s">
        <v>25</v>
      </c>
      <c r="G3" s="2" t="s">
        <v>30</v>
      </c>
      <c r="H3" s="2" t="s">
        <v>32</v>
      </c>
      <c r="I3" s="2" t="s">
        <v>32</v>
      </c>
      <c r="K3" s="2" t="s">
        <v>27</v>
      </c>
      <c r="L3" s="2" t="s">
        <v>33</v>
      </c>
      <c r="M3" s="3">
        <v>-20.541250000000002</v>
      </c>
      <c r="N3" s="3">
        <v>116.5357666</v>
      </c>
      <c r="O3">
        <v>460</v>
      </c>
      <c r="P3">
        <v>450</v>
      </c>
      <c r="U3" t="s">
        <v>39</v>
      </c>
      <c r="Z3" t="s">
        <v>122</v>
      </c>
      <c r="AA3" s="2" t="s">
        <v>119</v>
      </c>
      <c r="AB3" s="2" t="s">
        <v>119</v>
      </c>
      <c r="AC3" s="2" t="s">
        <v>119</v>
      </c>
    </row>
    <row r="4" spans="1:32" x14ac:dyDescent="0.25">
      <c r="A4" s="2" t="s">
        <v>41</v>
      </c>
      <c r="B4" s="2" t="s">
        <v>37</v>
      </c>
      <c r="C4" s="2" t="s">
        <v>38</v>
      </c>
      <c r="D4" s="5">
        <v>45855</v>
      </c>
      <c r="E4" s="5" t="str">
        <f t="shared" si="0"/>
        <v>juillet</v>
      </c>
      <c r="F4" s="2" t="s">
        <v>25</v>
      </c>
      <c r="G4" s="2" t="s">
        <v>30</v>
      </c>
      <c r="H4" s="2" t="s">
        <v>32</v>
      </c>
      <c r="I4" s="2" t="s">
        <v>32</v>
      </c>
      <c r="K4" s="2" t="s">
        <v>27</v>
      </c>
      <c r="L4" s="2" t="s">
        <v>33</v>
      </c>
      <c r="M4" s="3">
        <v>-20.541250000000002</v>
      </c>
      <c r="N4" s="3">
        <v>116.5357666</v>
      </c>
      <c r="O4">
        <v>380</v>
      </c>
      <c r="P4">
        <v>370</v>
      </c>
      <c r="U4" t="s">
        <v>39</v>
      </c>
      <c r="Z4" t="s">
        <v>122</v>
      </c>
      <c r="AA4" s="2" t="s">
        <v>119</v>
      </c>
      <c r="AB4" s="2" t="s">
        <v>119</v>
      </c>
      <c r="AC4" s="2" t="s">
        <v>119</v>
      </c>
    </row>
    <row r="5" spans="1:32" x14ac:dyDescent="0.25">
      <c r="A5" s="2" t="s">
        <v>42</v>
      </c>
      <c r="B5" s="7" t="s">
        <v>28</v>
      </c>
      <c r="C5" s="7" t="s">
        <v>35</v>
      </c>
      <c r="D5" s="6">
        <v>45855</v>
      </c>
      <c r="E5" s="5" t="str">
        <f t="shared" si="0"/>
        <v>juillet</v>
      </c>
      <c r="F5" s="2" t="s">
        <v>25</v>
      </c>
      <c r="G5" s="2" t="s">
        <v>30</v>
      </c>
      <c r="H5" s="2" t="s">
        <v>32</v>
      </c>
      <c r="I5" s="2" t="s">
        <v>32</v>
      </c>
      <c r="K5" s="2" t="s">
        <v>27</v>
      </c>
      <c r="L5" s="2" t="s">
        <v>33</v>
      </c>
      <c r="M5" s="3">
        <v>-20.541250000000002</v>
      </c>
      <c r="N5" s="3">
        <v>116.5357666</v>
      </c>
      <c r="O5">
        <v>625</v>
      </c>
      <c r="P5">
        <v>590</v>
      </c>
      <c r="U5" t="s">
        <v>39</v>
      </c>
      <c r="Z5" t="s">
        <v>122</v>
      </c>
      <c r="AA5" s="2" t="s">
        <v>119</v>
      </c>
      <c r="AB5" s="2" t="s">
        <v>119</v>
      </c>
      <c r="AC5" s="2" t="s">
        <v>119</v>
      </c>
    </row>
    <row r="6" spans="1:32" x14ac:dyDescent="0.25">
      <c r="A6" s="2" t="s">
        <v>43</v>
      </c>
      <c r="B6" s="7" t="s">
        <v>28</v>
      </c>
      <c r="C6" s="7" t="s">
        <v>35</v>
      </c>
      <c r="D6" s="5">
        <v>45855</v>
      </c>
      <c r="E6" s="5" t="str">
        <f t="shared" si="0"/>
        <v>juillet</v>
      </c>
      <c r="F6" s="2" t="s">
        <v>25</v>
      </c>
      <c r="G6" s="2" t="s">
        <v>30</v>
      </c>
      <c r="H6" s="2" t="s">
        <v>32</v>
      </c>
      <c r="I6" s="2" t="s">
        <v>32</v>
      </c>
      <c r="K6" s="2" t="s">
        <v>27</v>
      </c>
      <c r="L6" s="2" t="s">
        <v>33</v>
      </c>
      <c r="M6" s="3">
        <v>-20.541250000000002</v>
      </c>
      <c r="N6" s="3">
        <v>116.5357666</v>
      </c>
      <c r="O6">
        <v>442</v>
      </c>
      <c r="P6">
        <v>419</v>
      </c>
      <c r="U6" t="s">
        <v>39</v>
      </c>
      <c r="Z6" t="s">
        <v>122</v>
      </c>
      <c r="AA6" s="2" t="s">
        <v>119</v>
      </c>
      <c r="AB6" s="2" t="s">
        <v>119</v>
      </c>
      <c r="AC6" s="2" t="s">
        <v>119</v>
      </c>
    </row>
    <row r="7" spans="1:32" x14ac:dyDescent="0.25">
      <c r="A7" s="2" t="s">
        <v>44</v>
      </c>
      <c r="B7" s="7" t="s">
        <v>28</v>
      </c>
      <c r="C7" s="7" t="s">
        <v>35</v>
      </c>
      <c r="D7" s="6">
        <v>45855</v>
      </c>
      <c r="E7" s="5" t="str">
        <f t="shared" si="0"/>
        <v>juillet</v>
      </c>
      <c r="F7" s="2" t="s">
        <v>25</v>
      </c>
      <c r="G7" s="2" t="s">
        <v>30</v>
      </c>
      <c r="H7" s="2" t="s">
        <v>32</v>
      </c>
      <c r="I7" s="2" t="s">
        <v>32</v>
      </c>
      <c r="K7" s="2" t="s">
        <v>27</v>
      </c>
      <c r="L7" s="2" t="s">
        <v>33</v>
      </c>
      <c r="M7" s="3">
        <v>-20.541250000000002</v>
      </c>
      <c r="N7" s="3">
        <v>116.5357666</v>
      </c>
      <c r="O7">
        <v>420</v>
      </c>
      <c r="P7">
        <v>401</v>
      </c>
      <c r="U7" t="s">
        <v>39</v>
      </c>
      <c r="Z7">
        <v>0</v>
      </c>
      <c r="AA7" s="2" t="s">
        <v>119</v>
      </c>
      <c r="AB7" s="2" t="s">
        <v>119</v>
      </c>
      <c r="AC7" s="2" t="s">
        <v>119</v>
      </c>
    </row>
    <row r="8" spans="1:32" x14ac:dyDescent="0.25">
      <c r="A8" s="8" t="s">
        <v>51</v>
      </c>
      <c r="B8" s="15" t="s">
        <v>182</v>
      </c>
      <c r="C8" s="15" t="s">
        <v>185</v>
      </c>
      <c r="D8" s="6">
        <v>45867</v>
      </c>
      <c r="E8" s="5" t="str">
        <f t="shared" si="0"/>
        <v>juillet</v>
      </c>
      <c r="F8" s="8" t="s">
        <v>25</v>
      </c>
      <c r="G8" s="8" t="s">
        <v>30</v>
      </c>
      <c r="H8" s="8" t="s">
        <v>32</v>
      </c>
      <c r="I8" s="8" t="s">
        <v>32</v>
      </c>
      <c r="K8" s="8" t="s">
        <v>27</v>
      </c>
      <c r="L8" s="2" t="s">
        <v>33</v>
      </c>
      <c r="M8" s="3">
        <v>-20.541250000000002</v>
      </c>
      <c r="N8" s="3">
        <v>116.5357666</v>
      </c>
      <c r="O8">
        <v>510</v>
      </c>
      <c r="P8">
        <v>497</v>
      </c>
      <c r="U8" t="s">
        <v>50</v>
      </c>
      <c r="Z8">
        <v>0</v>
      </c>
      <c r="AA8" s="2" t="s">
        <v>119</v>
      </c>
      <c r="AB8" s="2" t="s">
        <v>119</v>
      </c>
      <c r="AC8" s="2" t="s">
        <v>119</v>
      </c>
    </row>
    <row r="9" spans="1:32" x14ac:dyDescent="0.25">
      <c r="A9" s="7" t="s">
        <v>49</v>
      </c>
      <c r="B9" s="7" t="s">
        <v>48</v>
      </c>
      <c r="C9" s="7" t="s">
        <v>45</v>
      </c>
      <c r="D9" s="6">
        <v>45867</v>
      </c>
      <c r="E9" s="5" t="str">
        <f t="shared" si="0"/>
        <v>juillet</v>
      </c>
      <c r="F9" s="8" t="s">
        <v>25</v>
      </c>
      <c r="G9" s="8" t="s">
        <v>30</v>
      </c>
      <c r="H9" s="8" t="s">
        <v>32</v>
      </c>
      <c r="I9" s="8" t="s">
        <v>32</v>
      </c>
      <c r="K9" s="8" t="s">
        <v>27</v>
      </c>
      <c r="L9" s="2" t="s">
        <v>33</v>
      </c>
      <c r="M9" s="3">
        <v>-20.541250000000002</v>
      </c>
      <c r="N9" s="3">
        <v>116.5357666</v>
      </c>
      <c r="O9">
        <v>590</v>
      </c>
      <c r="P9">
        <v>515</v>
      </c>
      <c r="U9" t="s">
        <v>50</v>
      </c>
      <c r="Z9">
        <v>0</v>
      </c>
      <c r="AA9" s="2" t="s">
        <v>119</v>
      </c>
      <c r="AB9" s="2" t="s">
        <v>119</v>
      </c>
      <c r="AC9" s="2" t="s">
        <v>119</v>
      </c>
    </row>
    <row r="10" spans="1:32" x14ac:dyDescent="0.25">
      <c r="A10" s="7" t="s">
        <v>53</v>
      </c>
      <c r="B10" s="7" t="s">
        <v>47</v>
      </c>
      <c r="C10" s="7" t="s">
        <v>46</v>
      </c>
      <c r="D10" s="6">
        <v>45867</v>
      </c>
      <c r="E10" s="5" t="str">
        <f t="shared" si="0"/>
        <v>juillet</v>
      </c>
      <c r="F10" s="8" t="s">
        <v>25</v>
      </c>
      <c r="G10" s="8" t="s">
        <v>30</v>
      </c>
      <c r="H10" s="8" t="s">
        <v>32</v>
      </c>
      <c r="I10" s="8" t="s">
        <v>32</v>
      </c>
      <c r="K10" s="2" t="s">
        <v>27</v>
      </c>
      <c r="L10" s="2" t="s">
        <v>33</v>
      </c>
      <c r="M10" s="3">
        <v>-20.541250000000002</v>
      </c>
      <c r="N10" s="3">
        <v>116.5357666</v>
      </c>
      <c r="O10">
        <v>680</v>
      </c>
      <c r="P10">
        <v>580</v>
      </c>
      <c r="U10" t="s">
        <v>50</v>
      </c>
      <c r="Z10" t="s">
        <v>123</v>
      </c>
      <c r="AA10" s="2" t="s">
        <v>119</v>
      </c>
      <c r="AB10" s="2" t="s">
        <v>119</v>
      </c>
      <c r="AC10" s="2" t="s">
        <v>119</v>
      </c>
    </row>
    <row r="11" spans="1:32" x14ac:dyDescent="0.25">
      <c r="A11" s="7" t="s">
        <v>52</v>
      </c>
      <c r="B11" s="7" t="s">
        <v>54</v>
      </c>
      <c r="C11" s="7" t="s">
        <v>55</v>
      </c>
      <c r="D11" s="6">
        <v>45876</v>
      </c>
      <c r="E11" s="5" t="str">
        <f t="shared" si="0"/>
        <v>août</v>
      </c>
      <c r="F11" s="8" t="s">
        <v>25</v>
      </c>
      <c r="G11" s="8" t="s">
        <v>56</v>
      </c>
      <c r="H11" s="8" t="s">
        <v>32</v>
      </c>
      <c r="I11" s="8" t="s">
        <v>32</v>
      </c>
      <c r="K11" s="8" t="s">
        <v>27</v>
      </c>
      <c r="L11" s="2" t="s">
        <v>33</v>
      </c>
      <c r="M11" s="3">
        <v>-20.541250000000002</v>
      </c>
      <c r="N11" s="3">
        <v>116.5357666</v>
      </c>
      <c r="O11">
        <v>1054</v>
      </c>
      <c r="U11" t="s">
        <v>39</v>
      </c>
      <c r="Z11" t="s">
        <v>121</v>
      </c>
      <c r="AA11" s="2" t="s">
        <v>119</v>
      </c>
      <c r="AB11" s="2" t="s">
        <v>119</v>
      </c>
      <c r="AC11" s="2" t="s">
        <v>119</v>
      </c>
      <c r="AF11" t="s">
        <v>57</v>
      </c>
    </row>
    <row r="12" spans="1:32" x14ac:dyDescent="0.25">
      <c r="A12" s="10" t="s">
        <v>60</v>
      </c>
      <c r="B12" s="15" t="s">
        <v>266</v>
      </c>
      <c r="C12" s="10" t="s">
        <v>85</v>
      </c>
      <c r="D12" s="11">
        <v>45904</v>
      </c>
      <c r="E12" s="5" t="str">
        <f t="shared" si="0"/>
        <v>septembre</v>
      </c>
      <c r="F12" s="10" t="s">
        <v>25</v>
      </c>
      <c r="G12" s="8" t="s">
        <v>30</v>
      </c>
      <c r="H12" s="8" t="s">
        <v>94</v>
      </c>
      <c r="I12" s="10" t="s">
        <v>59</v>
      </c>
      <c r="K12" s="8" t="s">
        <v>27</v>
      </c>
      <c r="L12" s="10" t="s">
        <v>58</v>
      </c>
      <c r="M12" s="3">
        <v>-20.541250000000002</v>
      </c>
      <c r="N12" s="3">
        <v>116.5357666</v>
      </c>
      <c r="P12" s="10">
        <v>30.9</v>
      </c>
      <c r="T12" s="10">
        <v>564</v>
      </c>
      <c r="U12" s="10" t="s">
        <v>50</v>
      </c>
      <c r="V12" s="10">
        <v>2</v>
      </c>
      <c r="X12" s="10">
        <v>3.6560000000000001</v>
      </c>
      <c r="Z12" t="s">
        <v>121</v>
      </c>
      <c r="AA12" s="2" t="s">
        <v>119</v>
      </c>
      <c r="AB12" s="2" t="s">
        <v>119</v>
      </c>
      <c r="AC12" s="2" t="s">
        <v>119</v>
      </c>
      <c r="AF12" s="10" t="s">
        <v>96</v>
      </c>
    </row>
    <row r="13" spans="1:32" x14ac:dyDescent="0.25">
      <c r="A13" s="10" t="s">
        <v>61</v>
      </c>
      <c r="B13" s="15" t="s">
        <v>267</v>
      </c>
      <c r="C13" s="10" t="s">
        <v>86</v>
      </c>
      <c r="D13" s="11">
        <v>45904</v>
      </c>
      <c r="E13" s="5" t="str">
        <f t="shared" si="0"/>
        <v>septembre</v>
      </c>
      <c r="F13" s="10" t="s">
        <v>25</v>
      </c>
      <c r="G13" s="8" t="s">
        <v>30</v>
      </c>
      <c r="H13" s="8" t="s">
        <v>94</v>
      </c>
      <c r="I13" s="10" t="s">
        <v>59</v>
      </c>
      <c r="K13" s="8" t="s">
        <v>27</v>
      </c>
      <c r="L13" s="10" t="s">
        <v>58</v>
      </c>
      <c r="M13" s="3">
        <v>-20.541250000000002</v>
      </c>
      <c r="N13" s="3">
        <v>116.5357666</v>
      </c>
      <c r="P13" s="10">
        <v>23.9</v>
      </c>
      <c r="T13" s="10">
        <v>270</v>
      </c>
      <c r="U13" s="10" t="s">
        <v>50</v>
      </c>
      <c r="V13" s="10"/>
      <c r="X13" s="10">
        <v>0.623</v>
      </c>
      <c r="Z13" t="s">
        <v>121</v>
      </c>
      <c r="AA13" s="2" t="s">
        <v>119</v>
      </c>
      <c r="AB13" s="2" t="s">
        <v>119</v>
      </c>
      <c r="AC13" s="2" t="s">
        <v>119</v>
      </c>
      <c r="AF13" s="10" t="s">
        <v>96</v>
      </c>
    </row>
    <row r="14" spans="1:32" x14ac:dyDescent="0.25">
      <c r="A14" s="10" t="s">
        <v>62</v>
      </c>
      <c r="B14" s="15" t="s">
        <v>225</v>
      </c>
      <c r="C14" s="10" t="s">
        <v>87</v>
      </c>
      <c r="D14" s="11">
        <v>45904</v>
      </c>
      <c r="E14" s="5" t="str">
        <f t="shared" si="0"/>
        <v>septembre</v>
      </c>
      <c r="F14" s="10" t="s">
        <v>25</v>
      </c>
      <c r="G14" s="8" t="s">
        <v>30</v>
      </c>
      <c r="H14" s="8" t="s">
        <v>94</v>
      </c>
      <c r="I14" s="10" t="s">
        <v>59</v>
      </c>
      <c r="K14" s="8" t="s">
        <v>27</v>
      </c>
      <c r="L14" s="10" t="s">
        <v>58</v>
      </c>
      <c r="M14" s="3">
        <v>-20.541250000000002</v>
      </c>
      <c r="N14" s="3">
        <v>116.5357666</v>
      </c>
      <c r="P14" s="10">
        <v>27</v>
      </c>
      <c r="T14" s="10">
        <v>462</v>
      </c>
      <c r="U14" s="10" t="s">
        <v>50</v>
      </c>
      <c r="V14" s="10">
        <v>5</v>
      </c>
      <c r="X14" s="10">
        <v>14.279</v>
      </c>
      <c r="Z14">
        <v>0</v>
      </c>
      <c r="AA14" s="2" t="s">
        <v>119</v>
      </c>
      <c r="AB14" s="2" t="s">
        <v>119</v>
      </c>
      <c r="AC14" s="2" t="s">
        <v>119</v>
      </c>
      <c r="AF14" s="10" t="s">
        <v>97</v>
      </c>
    </row>
    <row r="15" spans="1:32" x14ac:dyDescent="0.25">
      <c r="A15" s="10" t="s">
        <v>63</v>
      </c>
      <c r="B15" s="15" t="s">
        <v>268</v>
      </c>
      <c r="C15" s="10" t="s">
        <v>88</v>
      </c>
      <c r="D15" s="11">
        <v>45905</v>
      </c>
      <c r="E15" s="5" t="str">
        <f t="shared" si="0"/>
        <v>septembre</v>
      </c>
      <c r="F15" s="10" t="s">
        <v>25</v>
      </c>
      <c r="G15" s="8" t="s">
        <v>30</v>
      </c>
      <c r="H15" s="8" t="s">
        <v>94</v>
      </c>
      <c r="I15" s="10" t="s">
        <v>59</v>
      </c>
      <c r="K15" s="8" t="s">
        <v>27</v>
      </c>
      <c r="L15" s="10" t="s">
        <v>58</v>
      </c>
      <c r="M15" s="3">
        <v>-20.541250000000002</v>
      </c>
      <c r="N15" s="3">
        <v>116.5357666</v>
      </c>
      <c r="P15" s="10">
        <v>31.6</v>
      </c>
      <c r="T15" s="10">
        <v>476</v>
      </c>
      <c r="U15" s="10" t="s">
        <v>39</v>
      </c>
      <c r="V15" s="10">
        <v>1</v>
      </c>
      <c r="X15" s="10"/>
      <c r="Z15" t="s">
        <v>121</v>
      </c>
      <c r="AA15" s="2" t="s">
        <v>119</v>
      </c>
      <c r="AB15" s="2" t="s">
        <v>119</v>
      </c>
      <c r="AC15" s="2" t="s">
        <v>119</v>
      </c>
      <c r="AF15" s="10" t="s">
        <v>96</v>
      </c>
    </row>
    <row r="16" spans="1:32" x14ac:dyDescent="0.25">
      <c r="A16" s="10" t="s">
        <v>64</v>
      </c>
      <c r="B16" s="15" t="s">
        <v>269</v>
      </c>
      <c r="C16" s="10" t="s">
        <v>89</v>
      </c>
      <c r="D16" s="11">
        <v>45904</v>
      </c>
      <c r="E16" s="5" t="str">
        <f t="shared" si="0"/>
        <v>septembre</v>
      </c>
      <c r="F16" s="10" t="s">
        <v>25</v>
      </c>
      <c r="G16" s="8" t="s">
        <v>30</v>
      </c>
      <c r="H16" s="8" t="s">
        <v>94</v>
      </c>
      <c r="I16" s="10" t="s">
        <v>59</v>
      </c>
      <c r="K16" s="8" t="s">
        <v>27</v>
      </c>
      <c r="L16" s="10" t="s">
        <v>58</v>
      </c>
      <c r="M16" s="3">
        <v>-20.541250000000002</v>
      </c>
      <c r="N16" s="3">
        <v>116.5357666</v>
      </c>
      <c r="P16" s="10">
        <v>40.200000000000003</v>
      </c>
      <c r="T16" s="10">
        <v>990</v>
      </c>
      <c r="U16" s="10" t="s">
        <v>50</v>
      </c>
      <c r="V16" s="10">
        <v>2</v>
      </c>
      <c r="X16" s="10">
        <v>2.15</v>
      </c>
      <c r="Z16" t="s">
        <v>121</v>
      </c>
      <c r="AA16" s="2" t="s">
        <v>119</v>
      </c>
      <c r="AB16" s="2" t="s">
        <v>119</v>
      </c>
      <c r="AC16" s="2" t="s">
        <v>119</v>
      </c>
      <c r="AF16" s="10" t="s">
        <v>96</v>
      </c>
    </row>
    <row r="17" spans="1:32" x14ac:dyDescent="0.25">
      <c r="A17" s="10" t="s">
        <v>65</v>
      </c>
      <c r="B17" s="15" t="s">
        <v>267</v>
      </c>
      <c r="C17" s="10" t="s">
        <v>86</v>
      </c>
      <c r="D17" s="11">
        <v>45905</v>
      </c>
      <c r="E17" s="5" t="str">
        <f t="shared" si="0"/>
        <v>septembre</v>
      </c>
      <c r="F17" s="10" t="s">
        <v>25</v>
      </c>
      <c r="G17" s="8" t="s">
        <v>30</v>
      </c>
      <c r="H17" s="8" t="s">
        <v>94</v>
      </c>
      <c r="I17" s="10" t="s">
        <v>59</v>
      </c>
      <c r="K17" s="8" t="s">
        <v>27</v>
      </c>
      <c r="L17" s="10" t="s">
        <v>58</v>
      </c>
      <c r="M17" s="3">
        <v>-20.541250000000002</v>
      </c>
      <c r="N17" s="3">
        <v>116.5357666</v>
      </c>
      <c r="P17" s="10">
        <v>22.9</v>
      </c>
      <c r="T17" s="10">
        <v>246</v>
      </c>
      <c r="U17" s="10" t="s">
        <v>50</v>
      </c>
      <c r="V17" s="10">
        <v>1</v>
      </c>
      <c r="X17" s="10"/>
      <c r="Z17" t="s">
        <v>121</v>
      </c>
      <c r="AA17" s="2" t="s">
        <v>119</v>
      </c>
      <c r="AB17" s="2" t="s">
        <v>119</v>
      </c>
      <c r="AC17" s="2" t="s">
        <v>119</v>
      </c>
      <c r="AF17" s="10" t="s">
        <v>96</v>
      </c>
    </row>
    <row r="18" spans="1:32" x14ac:dyDescent="0.25">
      <c r="A18" s="10" t="s">
        <v>66</v>
      </c>
      <c r="B18" s="15" t="s">
        <v>270</v>
      </c>
      <c r="C18" s="10" t="s">
        <v>90</v>
      </c>
      <c r="D18" s="11">
        <v>45904</v>
      </c>
      <c r="E18" s="5" t="str">
        <f t="shared" si="0"/>
        <v>septembre</v>
      </c>
      <c r="F18" s="10" t="s">
        <v>25</v>
      </c>
      <c r="G18" s="8" t="s">
        <v>30</v>
      </c>
      <c r="H18" s="8" t="s">
        <v>94</v>
      </c>
      <c r="I18" s="10" t="s">
        <v>59</v>
      </c>
      <c r="K18" s="8" t="s">
        <v>27</v>
      </c>
      <c r="L18" s="10" t="s">
        <v>58</v>
      </c>
      <c r="M18" s="3">
        <v>-20.541250000000002</v>
      </c>
      <c r="N18" s="3">
        <v>116.5357666</v>
      </c>
      <c r="P18" s="10">
        <v>24.7</v>
      </c>
      <c r="T18" s="10">
        <v>360</v>
      </c>
      <c r="U18" s="10" t="s">
        <v>39</v>
      </c>
      <c r="V18" s="10"/>
      <c r="X18" s="10"/>
      <c r="Z18" t="s">
        <v>121</v>
      </c>
      <c r="AA18" s="2" t="s">
        <v>119</v>
      </c>
      <c r="AB18" s="2" t="s">
        <v>119</v>
      </c>
      <c r="AC18" s="2" t="s">
        <v>119</v>
      </c>
      <c r="AF18" s="10" t="s">
        <v>96</v>
      </c>
    </row>
    <row r="19" spans="1:32" x14ac:dyDescent="0.25">
      <c r="A19" s="10" t="s">
        <v>67</v>
      </c>
      <c r="B19" s="15" t="s">
        <v>225</v>
      </c>
      <c r="C19" s="10" t="s">
        <v>87</v>
      </c>
      <c r="D19" s="11">
        <v>45905</v>
      </c>
      <c r="E19" s="5" t="str">
        <f t="shared" si="0"/>
        <v>septembre</v>
      </c>
      <c r="F19" s="10" t="s">
        <v>25</v>
      </c>
      <c r="G19" s="8" t="s">
        <v>30</v>
      </c>
      <c r="H19" s="8" t="s">
        <v>94</v>
      </c>
      <c r="I19" s="10" t="s">
        <v>59</v>
      </c>
      <c r="K19" s="8" t="s">
        <v>27</v>
      </c>
      <c r="L19" s="10" t="s">
        <v>58</v>
      </c>
      <c r="M19" s="3">
        <v>-20.541250000000002</v>
      </c>
      <c r="N19" s="3">
        <v>116.5357666</v>
      </c>
      <c r="P19" s="10">
        <v>27.2</v>
      </c>
      <c r="T19" s="10">
        <v>438</v>
      </c>
      <c r="U19" s="10" t="s">
        <v>50</v>
      </c>
      <c r="V19" s="10">
        <v>5</v>
      </c>
      <c r="X19" s="10">
        <v>15.439</v>
      </c>
      <c r="Z19" t="s">
        <v>121</v>
      </c>
      <c r="AA19" s="2" t="s">
        <v>119</v>
      </c>
      <c r="AB19" s="2" t="s">
        <v>119</v>
      </c>
      <c r="AC19" s="2" t="s">
        <v>119</v>
      </c>
      <c r="AF19" s="10" t="s">
        <v>96</v>
      </c>
    </row>
    <row r="20" spans="1:32" x14ac:dyDescent="0.25">
      <c r="A20" s="10" t="s">
        <v>124</v>
      </c>
      <c r="B20" s="15" t="s">
        <v>266</v>
      </c>
      <c r="C20" s="10" t="s">
        <v>85</v>
      </c>
      <c r="D20" s="11">
        <v>45904</v>
      </c>
      <c r="E20" s="5" t="str">
        <f t="shared" si="0"/>
        <v>septembre</v>
      </c>
      <c r="F20" s="10" t="s">
        <v>25</v>
      </c>
      <c r="G20" s="8" t="s">
        <v>30</v>
      </c>
      <c r="H20" s="8" t="s">
        <v>94</v>
      </c>
      <c r="I20" s="10" t="s">
        <v>59</v>
      </c>
      <c r="K20" s="8" t="s">
        <v>27</v>
      </c>
      <c r="L20" s="10" t="s">
        <v>58</v>
      </c>
      <c r="M20" s="3">
        <v>-20.541250000000002</v>
      </c>
      <c r="N20" s="3">
        <v>116.5357666</v>
      </c>
      <c r="P20" s="10">
        <v>35.4</v>
      </c>
      <c r="T20" s="10">
        <v>908</v>
      </c>
      <c r="U20" s="10" t="s">
        <v>50</v>
      </c>
      <c r="V20" s="10">
        <v>4</v>
      </c>
      <c r="X20" s="10">
        <v>22.385000000000002</v>
      </c>
      <c r="Z20" t="s">
        <v>122</v>
      </c>
      <c r="AA20" s="2" t="s">
        <v>119</v>
      </c>
      <c r="AB20" s="2" t="s">
        <v>119</v>
      </c>
      <c r="AC20" s="2" t="s">
        <v>119</v>
      </c>
      <c r="AF20" s="10" t="s">
        <v>96</v>
      </c>
    </row>
    <row r="21" spans="1:32" x14ac:dyDescent="0.25">
      <c r="A21" s="10" t="s">
        <v>68</v>
      </c>
      <c r="B21" s="15" t="s">
        <v>268</v>
      </c>
      <c r="C21" s="10" t="s">
        <v>88</v>
      </c>
      <c r="D21" s="11">
        <v>45904</v>
      </c>
      <c r="E21" s="5" t="str">
        <f t="shared" si="0"/>
        <v>septembre</v>
      </c>
      <c r="F21" s="10" t="s">
        <v>25</v>
      </c>
      <c r="G21" s="8" t="s">
        <v>30</v>
      </c>
      <c r="H21" s="8" t="s">
        <v>94</v>
      </c>
      <c r="I21" s="10" t="s">
        <v>59</v>
      </c>
      <c r="K21" s="8" t="s">
        <v>27</v>
      </c>
      <c r="L21" s="10" t="s">
        <v>58</v>
      </c>
      <c r="M21" s="3">
        <v>-20.541250000000002</v>
      </c>
      <c r="N21" s="3">
        <v>116.5357666</v>
      </c>
      <c r="P21" s="10">
        <v>41.9</v>
      </c>
      <c r="T21" s="10">
        <v>1262</v>
      </c>
      <c r="U21" s="10" t="s">
        <v>39</v>
      </c>
      <c r="V21" s="10"/>
      <c r="X21" s="10">
        <v>0.55900000000000005</v>
      </c>
      <c r="Z21" t="s">
        <v>121</v>
      </c>
      <c r="AA21" s="2" t="s">
        <v>119</v>
      </c>
      <c r="AB21" s="2" t="s">
        <v>119</v>
      </c>
      <c r="AC21" s="2" t="s">
        <v>119</v>
      </c>
      <c r="AF21" s="10" t="s">
        <v>96</v>
      </c>
    </row>
    <row r="22" spans="1:32" x14ac:dyDescent="0.25">
      <c r="A22" s="10" t="s">
        <v>69</v>
      </c>
      <c r="B22" s="15" t="s">
        <v>273</v>
      </c>
      <c r="C22" s="10" t="s">
        <v>91</v>
      </c>
      <c r="D22" s="11">
        <v>45905</v>
      </c>
      <c r="E22" s="5" t="str">
        <f t="shared" si="0"/>
        <v>septembre</v>
      </c>
      <c r="F22" s="10" t="s">
        <v>25</v>
      </c>
      <c r="G22" s="8" t="s">
        <v>30</v>
      </c>
      <c r="H22" s="8" t="s">
        <v>94</v>
      </c>
      <c r="I22" s="10" t="s">
        <v>59</v>
      </c>
      <c r="K22" s="8" t="s">
        <v>27</v>
      </c>
      <c r="L22" s="10" t="s">
        <v>58</v>
      </c>
      <c r="M22" s="3">
        <v>-20.541250000000002</v>
      </c>
      <c r="N22" s="3">
        <v>116.5357666</v>
      </c>
      <c r="P22" s="10">
        <v>27.1</v>
      </c>
      <c r="T22" s="10">
        <v>452</v>
      </c>
      <c r="U22" s="10" t="s">
        <v>95</v>
      </c>
      <c r="V22" s="10">
        <v>4</v>
      </c>
      <c r="X22" s="10">
        <v>3.5289999999999999</v>
      </c>
      <c r="Z22">
        <v>0</v>
      </c>
      <c r="AA22" s="2" t="s">
        <v>119</v>
      </c>
      <c r="AB22" s="2" t="s">
        <v>119</v>
      </c>
      <c r="AC22" s="2" t="s">
        <v>119</v>
      </c>
      <c r="AF22" s="10" t="s">
        <v>97</v>
      </c>
    </row>
    <row r="23" spans="1:32" x14ac:dyDescent="0.25">
      <c r="A23" s="10" t="s">
        <v>70</v>
      </c>
      <c r="B23" s="15" t="s">
        <v>268</v>
      </c>
      <c r="C23" s="10" t="s">
        <v>88</v>
      </c>
      <c r="D23" s="11">
        <v>45904</v>
      </c>
      <c r="E23" s="5" t="str">
        <f t="shared" si="0"/>
        <v>septembre</v>
      </c>
      <c r="F23" s="10" t="s">
        <v>25</v>
      </c>
      <c r="G23" s="8" t="s">
        <v>30</v>
      </c>
      <c r="H23" s="8" t="s">
        <v>94</v>
      </c>
      <c r="I23" s="10" t="s">
        <v>59</v>
      </c>
      <c r="K23" s="8" t="s">
        <v>27</v>
      </c>
      <c r="L23" s="10" t="s">
        <v>58</v>
      </c>
      <c r="M23" s="3">
        <v>-20.541250000000002</v>
      </c>
      <c r="N23" s="3">
        <v>116.5357666</v>
      </c>
      <c r="P23" s="10">
        <v>31.5</v>
      </c>
      <c r="T23" s="10">
        <v>510</v>
      </c>
      <c r="U23" s="10" t="s">
        <v>39</v>
      </c>
      <c r="V23" s="10"/>
      <c r="X23" s="10">
        <v>0.44400000000000001</v>
      </c>
      <c r="Z23" t="s">
        <v>121</v>
      </c>
      <c r="AA23" s="2" t="s">
        <v>119</v>
      </c>
      <c r="AB23" s="2" t="s">
        <v>119</v>
      </c>
      <c r="AC23" s="2" t="s">
        <v>119</v>
      </c>
      <c r="AF23" s="10" t="s">
        <v>96</v>
      </c>
    </row>
    <row r="24" spans="1:32" x14ac:dyDescent="0.25">
      <c r="A24" s="10" t="s">
        <v>71</v>
      </c>
      <c r="B24" s="15" t="s">
        <v>273</v>
      </c>
      <c r="C24" s="10" t="s">
        <v>91</v>
      </c>
      <c r="D24" s="11">
        <v>45905</v>
      </c>
      <c r="E24" s="5" t="str">
        <f t="shared" si="0"/>
        <v>septembre</v>
      </c>
      <c r="F24" s="10" t="s">
        <v>25</v>
      </c>
      <c r="G24" s="8" t="s">
        <v>30</v>
      </c>
      <c r="H24" s="8" t="s">
        <v>94</v>
      </c>
      <c r="I24" s="10" t="s">
        <v>59</v>
      </c>
      <c r="K24" s="8" t="s">
        <v>27</v>
      </c>
      <c r="L24" s="10" t="s">
        <v>58</v>
      </c>
      <c r="M24" s="3">
        <v>-20.541250000000002</v>
      </c>
      <c r="N24" s="3">
        <v>116.5357666</v>
      </c>
      <c r="P24" s="10">
        <v>31.3</v>
      </c>
      <c r="T24" s="10">
        <v>670</v>
      </c>
      <c r="U24" s="10" t="s">
        <v>95</v>
      </c>
      <c r="V24" s="10">
        <v>2</v>
      </c>
      <c r="X24" s="10">
        <v>1.958</v>
      </c>
      <c r="Z24" t="s">
        <v>122</v>
      </c>
      <c r="AA24" s="2" t="s">
        <v>119</v>
      </c>
      <c r="AB24" s="2" t="s">
        <v>119</v>
      </c>
      <c r="AC24" s="2" t="s">
        <v>119</v>
      </c>
      <c r="AF24" s="10" t="s">
        <v>96</v>
      </c>
    </row>
    <row r="25" spans="1:32" x14ac:dyDescent="0.25">
      <c r="A25" s="10" t="s">
        <v>72</v>
      </c>
      <c r="B25" s="15" t="s">
        <v>225</v>
      </c>
      <c r="C25" s="10" t="s">
        <v>87</v>
      </c>
      <c r="D25" s="11">
        <v>45905</v>
      </c>
      <c r="E25" s="5" t="str">
        <f t="shared" si="0"/>
        <v>septembre</v>
      </c>
      <c r="F25" s="10" t="s">
        <v>25</v>
      </c>
      <c r="G25" s="8" t="s">
        <v>30</v>
      </c>
      <c r="H25" s="8" t="s">
        <v>94</v>
      </c>
      <c r="I25" s="10" t="s">
        <v>59</v>
      </c>
      <c r="K25" s="8" t="s">
        <v>27</v>
      </c>
      <c r="L25" s="10" t="s">
        <v>58</v>
      </c>
      <c r="M25" s="3">
        <v>-20.541250000000002</v>
      </c>
      <c r="N25" s="3">
        <v>116.5357666</v>
      </c>
      <c r="P25" s="10">
        <v>28.1</v>
      </c>
      <c r="T25" s="10">
        <v>498</v>
      </c>
      <c r="U25" s="10" t="s">
        <v>50</v>
      </c>
      <c r="V25" s="10">
        <v>5</v>
      </c>
      <c r="X25" s="10">
        <v>8.4090000000000007</v>
      </c>
      <c r="Z25">
        <v>0</v>
      </c>
      <c r="AA25" s="2" t="s">
        <v>119</v>
      </c>
      <c r="AB25" s="2" t="s">
        <v>119</v>
      </c>
      <c r="AC25" s="2" t="s">
        <v>119</v>
      </c>
      <c r="AF25" s="10" t="s">
        <v>97</v>
      </c>
    </row>
    <row r="26" spans="1:32" x14ac:dyDescent="0.25">
      <c r="A26" s="10" t="s">
        <v>73</v>
      </c>
      <c r="B26" t="s">
        <v>266</v>
      </c>
      <c r="C26" s="10" t="s">
        <v>85</v>
      </c>
      <c r="D26" s="11">
        <v>45904</v>
      </c>
      <c r="E26" s="5" t="str">
        <f t="shared" si="0"/>
        <v>septembre</v>
      </c>
      <c r="F26" s="10" t="s">
        <v>25</v>
      </c>
      <c r="G26" s="8" t="s">
        <v>30</v>
      </c>
      <c r="H26" s="8" t="s">
        <v>94</v>
      </c>
      <c r="I26" s="10" t="s">
        <v>59</v>
      </c>
      <c r="K26" s="8" t="s">
        <v>27</v>
      </c>
      <c r="L26" s="10" t="s">
        <v>58</v>
      </c>
      <c r="M26" s="3">
        <v>-20.541250000000002</v>
      </c>
      <c r="N26" s="3">
        <v>116.5357666</v>
      </c>
      <c r="P26" s="10">
        <v>31.6</v>
      </c>
      <c r="T26" s="10">
        <v>568</v>
      </c>
      <c r="U26" s="10" t="s">
        <v>95</v>
      </c>
      <c r="V26" s="10">
        <v>5</v>
      </c>
      <c r="X26" s="10">
        <v>10.654999999999999</v>
      </c>
      <c r="Z26" t="s">
        <v>121</v>
      </c>
      <c r="AA26" s="2" t="s">
        <v>119</v>
      </c>
      <c r="AB26" s="2" t="s">
        <v>119</v>
      </c>
      <c r="AC26" s="2" t="s">
        <v>119</v>
      </c>
      <c r="AF26" s="10" t="s">
        <v>96</v>
      </c>
    </row>
    <row r="27" spans="1:32" x14ac:dyDescent="0.25">
      <c r="A27" s="10" t="s">
        <v>74</v>
      </c>
      <c r="B27" s="15" t="s">
        <v>269</v>
      </c>
      <c r="C27" s="10" t="s">
        <v>89</v>
      </c>
      <c r="D27" s="11">
        <v>45905</v>
      </c>
      <c r="E27" s="5" t="str">
        <f t="shared" si="0"/>
        <v>septembre</v>
      </c>
      <c r="F27" s="10" t="s">
        <v>25</v>
      </c>
      <c r="G27" s="8" t="s">
        <v>30</v>
      </c>
      <c r="H27" s="8" t="s">
        <v>94</v>
      </c>
      <c r="I27" s="10" t="s">
        <v>59</v>
      </c>
      <c r="K27" s="8" t="s">
        <v>27</v>
      </c>
      <c r="L27" s="10" t="s">
        <v>58</v>
      </c>
      <c r="M27" s="3">
        <v>-20.541250000000002</v>
      </c>
      <c r="N27" s="3">
        <v>116.5357666</v>
      </c>
      <c r="P27" s="10">
        <v>41.5</v>
      </c>
      <c r="T27" s="10">
        <v>1070</v>
      </c>
      <c r="U27" s="10" t="s">
        <v>95</v>
      </c>
      <c r="V27" s="10">
        <v>2</v>
      </c>
      <c r="X27" s="10">
        <v>11.452999999999999</v>
      </c>
      <c r="Z27" t="s">
        <v>122</v>
      </c>
      <c r="AA27" s="2" t="s">
        <v>119</v>
      </c>
      <c r="AB27" s="2" t="s">
        <v>119</v>
      </c>
      <c r="AC27" s="2" t="s">
        <v>119</v>
      </c>
      <c r="AF27" s="10" t="s">
        <v>96</v>
      </c>
    </row>
    <row r="28" spans="1:32" x14ac:dyDescent="0.25">
      <c r="A28" s="10" t="s">
        <v>75</v>
      </c>
      <c r="B28" t="s">
        <v>266</v>
      </c>
      <c r="C28" s="10" t="s">
        <v>85</v>
      </c>
      <c r="D28" s="11">
        <v>45905</v>
      </c>
      <c r="E28" s="5" t="str">
        <f t="shared" si="0"/>
        <v>septembre</v>
      </c>
      <c r="F28" s="10" t="s">
        <v>25</v>
      </c>
      <c r="G28" s="8" t="s">
        <v>30</v>
      </c>
      <c r="H28" s="8" t="s">
        <v>94</v>
      </c>
      <c r="I28" s="10" t="s">
        <v>59</v>
      </c>
      <c r="K28" s="8" t="s">
        <v>27</v>
      </c>
      <c r="L28" s="10" t="s">
        <v>58</v>
      </c>
      <c r="M28" s="3">
        <v>-20.541250000000002</v>
      </c>
      <c r="N28" s="3">
        <v>116.5357666</v>
      </c>
      <c r="P28" s="10">
        <v>26.9</v>
      </c>
      <c r="T28" s="10">
        <v>344</v>
      </c>
      <c r="U28" s="10" t="s">
        <v>95</v>
      </c>
      <c r="V28" s="10">
        <v>2</v>
      </c>
      <c r="X28" s="10">
        <v>1.909</v>
      </c>
      <c r="Z28" t="s">
        <v>122</v>
      </c>
      <c r="AA28" s="2" t="s">
        <v>119</v>
      </c>
      <c r="AB28" s="2" t="s">
        <v>119</v>
      </c>
      <c r="AC28" s="2" t="s">
        <v>119</v>
      </c>
      <c r="AF28" s="10" t="s">
        <v>96</v>
      </c>
    </row>
    <row r="29" spans="1:32" x14ac:dyDescent="0.25">
      <c r="A29" s="10" t="s">
        <v>76</v>
      </c>
      <c r="B29" s="15" t="s">
        <v>270</v>
      </c>
      <c r="C29" s="10" t="s">
        <v>90</v>
      </c>
      <c r="D29" s="11">
        <v>45904</v>
      </c>
      <c r="E29" s="5" t="str">
        <f t="shared" si="0"/>
        <v>septembre</v>
      </c>
      <c r="F29" s="10" t="s">
        <v>25</v>
      </c>
      <c r="G29" s="8" t="s">
        <v>30</v>
      </c>
      <c r="H29" s="8" t="s">
        <v>94</v>
      </c>
      <c r="I29" s="10" t="s">
        <v>59</v>
      </c>
      <c r="K29" s="8" t="s">
        <v>27</v>
      </c>
      <c r="L29" s="10" t="s">
        <v>58</v>
      </c>
      <c r="M29" s="3">
        <v>-20.541250000000002</v>
      </c>
      <c r="N29" s="3">
        <v>116.5357666</v>
      </c>
      <c r="P29" s="10">
        <v>30.3</v>
      </c>
      <c r="T29" s="10">
        <v>684</v>
      </c>
      <c r="U29" s="10" t="s">
        <v>50</v>
      </c>
      <c r="V29" s="10">
        <v>2</v>
      </c>
      <c r="X29" s="10">
        <v>0.48299999999999998</v>
      </c>
      <c r="Z29">
        <v>0</v>
      </c>
      <c r="AA29" s="2" t="s">
        <v>119</v>
      </c>
      <c r="AB29" s="2" t="s">
        <v>119</v>
      </c>
      <c r="AC29" s="2" t="s">
        <v>119</v>
      </c>
      <c r="AF29" s="10" t="s">
        <v>96</v>
      </c>
    </row>
    <row r="30" spans="1:32" x14ac:dyDescent="0.25">
      <c r="A30" s="10" t="s">
        <v>77</v>
      </c>
      <c r="B30" t="s">
        <v>271</v>
      </c>
      <c r="C30" s="10" t="s">
        <v>92</v>
      </c>
      <c r="D30" s="11">
        <v>45904</v>
      </c>
      <c r="E30" s="5" t="str">
        <f t="shared" si="0"/>
        <v>septembre</v>
      </c>
      <c r="F30" s="10" t="s">
        <v>25</v>
      </c>
      <c r="G30" s="8" t="s">
        <v>30</v>
      </c>
      <c r="H30" s="8" t="s">
        <v>94</v>
      </c>
      <c r="I30" s="10" t="s">
        <v>59</v>
      </c>
      <c r="K30" s="8" t="s">
        <v>27</v>
      </c>
      <c r="L30" s="10" t="s">
        <v>58</v>
      </c>
      <c r="M30" s="3">
        <v>-20.541250000000002</v>
      </c>
      <c r="N30" s="3">
        <v>116.5357666</v>
      </c>
      <c r="P30" s="10">
        <v>47</v>
      </c>
      <c r="T30" s="10">
        <v>2274</v>
      </c>
      <c r="U30" s="10" t="s">
        <v>50</v>
      </c>
      <c r="V30" s="10">
        <v>2</v>
      </c>
      <c r="X30" s="10">
        <v>4.4649999999999999</v>
      </c>
      <c r="Z30">
        <v>0</v>
      </c>
      <c r="AA30" s="2" t="s">
        <v>119</v>
      </c>
      <c r="AB30" s="2" t="s">
        <v>119</v>
      </c>
      <c r="AC30" s="2" t="s">
        <v>119</v>
      </c>
      <c r="AF30" s="10" t="s">
        <v>97</v>
      </c>
    </row>
    <row r="31" spans="1:32" x14ac:dyDescent="0.25">
      <c r="A31" s="10" t="s">
        <v>78</v>
      </c>
      <c r="B31" s="15" t="s">
        <v>269</v>
      </c>
      <c r="C31" s="10" t="s">
        <v>89</v>
      </c>
      <c r="D31" s="11">
        <v>45904</v>
      </c>
      <c r="E31" s="5" t="str">
        <f t="shared" si="0"/>
        <v>septembre</v>
      </c>
      <c r="F31" s="10" t="s">
        <v>25</v>
      </c>
      <c r="G31" s="8" t="s">
        <v>30</v>
      </c>
      <c r="H31" s="8" t="s">
        <v>94</v>
      </c>
      <c r="I31" s="10" t="s">
        <v>59</v>
      </c>
      <c r="K31" s="8" t="s">
        <v>27</v>
      </c>
      <c r="L31" s="10" t="s">
        <v>58</v>
      </c>
      <c r="M31" s="3">
        <v>-20.541250000000002</v>
      </c>
      <c r="N31" s="3">
        <v>116.5357666</v>
      </c>
      <c r="P31" s="10">
        <v>41.3</v>
      </c>
      <c r="T31" s="10">
        <v>1106</v>
      </c>
      <c r="U31" s="10" t="s">
        <v>50</v>
      </c>
      <c r="V31" s="10">
        <v>2</v>
      </c>
      <c r="X31" s="10">
        <v>2.2679999999999998</v>
      </c>
      <c r="Z31" t="s">
        <v>121</v>
      </c>
      <c r="AA31" s="2" t="s">
        <v>119</v>
      </c>
      <c r="AB31" s="2" t="s">
        <v>119</v>
      </c>
      <c r="AC31" s="2" t="s">
        <v>119</v>
      </c>
      <c r="AF31" s="10" t="s">
        <v>96</v>
      </c>
    </row>
    <row r="32" spans="1:32" x14ac:dyDescent="0.25">
      <c r="A32" s="10" t="s">
        <v>79</v>
      </c>
      <c r="B32" t="s">
        <v>271</v>
      </c>
      <c r="C32" s="10" t="s">
        <v>92</v>
      </c>
      <c r="D32" s="11">
        <v>45904</v>
      </c>
      <c r="E32" s="5" t="str">
        <f t="shared" si="0"/>
        <v>septembre</v>
      </c>
      <c r="F32" s="10" t="s">
        <v>25</v>
      </c>
      <c r="G32" s="8" t="s">
        <v>30</v>
      </c>
      <c r="H32" s="8" t="s">
        <v>94</v>
      </c>
      <c r="I32" s="10" t="s">
        <v>59</v>
      </c>
      <c r="K32" s="8" t="s">
        <v>27</v>
      </c>
      <c r="L32" s="10" t="s">
        <v>58</v>
      </c>
      <c r="M32" s="3">
        <v>-20.541250000000002</v>
      </c>
      <c r="N32" s="3">
        <v>116.5357666</v>
      </c>
      <c r="P32" s="10">
        <v>49.1</v>
      </c>
      <c r="T32" s="10">
        <v>2734</v>
      </c>
      <c r="U32" s="10" t="s">
        <v>95</v>
      </c>
      <c r="V32" s="10">
        <v>5</v>
      </c>
      <c r="X32" s="10">
        <v>4.6740000000000004</v>
      </c>
      <c r="Z32" t="s">
        <v>121</v>
      </c>
      <c r="AA32" s="2" t="s">
        <v>119</v>
      </c>
      <c r="AB32" s="2" t="s">
        <v>119</v>
      </c>
      <c r="AC32" s="2" t="s">
        <v>119</v>
      </c>
      <c r="AF32" s="10" t="s">
        <v>96</v>
      </c>
    </row>
    <row r="33" spans="1:32" x14ac:dyDescent="0.25">
      <c r="A33" s="10" t="s">
        <v>80</v>
      </c>
      <c r="B33" s="15" t="s">
        <v>269</v>
      </c>
      <c r="C33" s="10" t="s">
        <v>89</v>
      </c>
      <c r="D33" s="11">
        <v>45905</v>
      </c>
      <c r="E33" s="5" t="str">
        <f t="shared" si="0"/>
        <v>septembre</v>
      </c>
      <c r="F33" s="10" t="s">
        <v>25</v>
      </c>
      <c r="G33" s="8" t="s">
        <v>30</v>
      </c>
      <c r="H33" s="8" t="s">
        <v>94</v>
      </c>
      <c r="I33" s="10" t="s">
        <v>59</v>
      </c>
      <c r="K33" s="8" t="s">
        <v>27</v>
      </c>
      <c r="L33" s="10" t="s">
        <v>58</v>
      </c>
      <c r="M33" s="3">
        <v>-20.541250000000002</v>
      </c>
      <c r="N33" s="3">
        <v>116.5357666</v>
      </c>
      <c r="P33" s="10">
        <v>39.1</v>
      </c>
      <c r="T33" s="10">
        <v>928</v>
      </c>
      <c r="U33" s="10" t="s">
        <v>50</v>
      </c>
      <c r="V33" s="10">
        <v>2</v>
      </c>
      <c r="X33" s="10">
        <v>2.4889999999999999</v>
      </c>
      <c r="Z33" t="s">
        <v>121</v>
      </c>
      <c r="AA33" s="2" t="s">
        <v>119</v>
      </c>
      <c r="AB33" s="2" t="s">
        <v>119</v>
      </c>
      <c r="AC33" s="2" t="s">
        <v>119</v>
      </c>
      <c r="AF33" s="10" t="s">
        <v>96</v>
      </c>
    </row>
    <row r="34" spans="1:32" x14ac:dyDescent="0.25">
      <c r="A34" s="10" t="s">
        <v>81</v>
      </c>
      <c r="B34" t="s">
        <v>272</v>
      </c>
      <c r="C34" s="10" t="s">
        <v>93</v>
      </c>
      <c r="D34" s="11">
        <v>45904</v>
      </c>
      <c r="E34" s="5" t="str">
        <f t="shared" si="0"/>
        <v>septembre</v>
      </c>
      <c r="F34" s="10" t="s">
        <v>25</v>
      </c>
      <c r="G34" s="8" t="s">
        <v>30</v>
      </c>
      <c r="H34" s="8" t="s">
        <v>94</v>
      </c>
      <c r="I34" s="10" t="s">
        <v>59</v>
      </c>
      <c r="K34" s="8" t="s">
        <v>27</v>
      </c>
      <c r="L34" s="10" t="s">
        <v>58</v>
      </c>
      <c r="M34" s="3">
        <v>-20.541250000000002</v>
      </c>
      <c r="N34" s="3">
        <v>116.5357666</v>
      </c>
      <c r="P34" s="10">
        <v>31.9</v>
      </c>
      <c r="T34" s="10">
        <v>528</v>
      </c>
      <c r="U34" s="10" t="s">
        <v>50</v>
      </c>
      <c r="V34" s="10">
        <v>2</v>
      </c>
      <c r="X34" s="10">
        <v>3.7170000000000001</v>
      </c>
      <c r="Z34">
        <v>0</v>
      </c>
      <c r="AA34" s="2" t="s">
        <v>119</v>
      </c>
      <c r="AB34" s="2" t="s">
        <v>119</v>
      </c>
      <c r="AC34" s="2" t="s">
        <v>119</v>
      </c>
      <c r="AF34" s="10" t="s">
        <v>97</v>
      </c>
    </row>
    <row r="35" spans="1:32" x14ac:dyDescent="0.25">
      <c r="A35" s="10" t="s">
        <v>82</v>
      </c>
      <c r="B35" t="s">
        <v>269</v>
      </c>
      <c r="C35" s="10" t="s">
        <v>89</v>
      </c>
      <c r="D35" s="11">
        <v>45904</v>
      </c>
      <c r="E35" s="5" t="str">
        <f t="shared" si="0"/>
        <v>septembre</v>
      </c>
      <c r="F35" s="10" t="s">
        <v>25</v>
      </c>
      <c r="G35" s="8" t="s">
        <v>30</v>
      </c>
      <c r="H35" s="8" t="s">
        <v>94</v>
      </c>
      <c r="I35" s="10" t="s">
        <v>59</v>
      </c>
      <c r="K35" s="8" t="s">
        <v>27</v>
      </c>
      <c r="L35" s="10" t="s">
        <v>58</v>
      </c>
      <c r="M35" s="3">
        <v>-20.541250000000002</v>
      </c>
      <c r="N35" s="3">
        <v>116.5357666</v>
      </c>
      <c r="P35" s="10">
        <v>38.799999999999997</v>
      </c>
      <c r="T35" s="10">
        <v>798</v>
      </c>
      <c r="U35" s="10" t="s">
        <v>39</v>
      </c>
      <c r="V35" s="10">
        <v>1</v>
      </c>
      <c r="X35" s="10">
        <v>0.122</v>
      </c>
      <c r="Z35" t="s">
        <v>121</v>
      </c>
      <c r="AA35" s="2" t="s">
        <v>119</v>
      </c>
      <c r="AB35" s="2" t="s">
        <v>119</v>
      </c>
      <c r="AC35" s="2" t="s">
        <v>119</v>
      </c>
      <c r="AF35" s="10" t="s">
        <v>96</v>
      </c>
    </row>
    <row r="36" spans="1:32" x14ac:dyDescent="0.25">
      <c r="A36" s="10" t="s">
        <v>83</v>
      </c>
      <c r="B36" t="s">
        <v>268</v>
      </c>
      <c r="C36" s="10" t="s">
        <v>88</v>
      </c>
      <c r="D36" s="11">
        <v>45905</v>
      </c>
      <c r="E36" s="5" t="str">
        <f t="shared" si="0"/>
        <v>septembre</v>
      </c>
      <c r="F36" s="10" t="s">
        <v>25</v>
      </c>
      <c r="G36" s="8" t="s">
        <v>30</v>
      </c>
      <c r="H36" s="8" t="s">
        <v>94</v>
      </c>
      <c r="I36" s="10" t="s">
        <v>59</v>
      </c>
      <c r="K36" s="8" t="s">
        <v>27</v>
      </c>
      <c r="L36" s="10" t="s">
        <v>58</v>
      </c>
      <c r="M36" s="3">
        <v>-20.541250000000002</v>
      </c>
      <c r="N36" s="3">
        <v>116.5357666</v>
      </c>
      <c r="P36" s="10">
        <v>32</v>
      </c>
      <c r="T36" s="10">
        <v>532</v>
      </c>
      <c r="U36" s="10" t="s">
        <v>39</v>
      </c>
      <c r="V36" s="10"/>
      <c r="X36" s="10"/>
      <c r="Z36" t="s">
        <v>121</v>
      </c>
      <c r="AA36" s="2" t="s">
        <v>119</v>
      </c>
      <c r="AB36" s="2" t="s">
        <v>119</v>
      </c>
      <c r="AC36" s="2" t="s">
        <v>119</v>
      </c>
      <c r="AF36" s="10" t="s">
        <v>96</v>
      </c>
    </row>
    <row r="37" spans="1:32" x14ac:dyDescent="0.25">
      <c r="A37" s="10" t="s">
        <v>84</v>
      </c>
      <c r="B37" t="s">
        <v>272</v>
      </c>
      <c r="C37" s="10" t="s">
        <v>93</v>
      </c>
      <c r="D37" s="11">
        <v>45904</v>
      </c>
      <c r="E37" s="5" t="str">
        <f t="shared" si="0"/>
        <v>septembre</v>
      </c>
      <c r="F37" s="10" t="s">
        <v>25</v>
      </c>
      <c r="G37" s="8" t="s">
        <v>30</v>
      </c>
      <c r="H37" s="8" t="s">
        <v>94</v>
      </c>
      <c r="I37" s="10" t="s">
        <v>59</v>
      </c>
      <c r="K37" s="8" t="s">
        <v>27</v>
      </c>
      <c r="L37" s="10" t="s">
        <v>58</v>
      </c>
      <c r="M37" s="3">
        <v>-20.541250000000002</v>
      </c>
      <c r="N37" s="3">
        <v>116.5357666</v>
      </c>
      <c r="P37" s="10">
        <v>32.700000000000003</v>
      </c>
      <c r="T37" s="10">
        <v>502</v>
      </c>
      <c r="U37" s="10" t="s">
        <v>95</v>
      </c>
      <c r="V37" s="10">
        <v>4</v>
      </c>
      <c r="X37" s="10">
        <v>1.8819999999999999</v>
      </c>
      <c r="Z37" t="s">
        <v>121</v>
      </c>
      <c r="AA37" s="2" t="s">
        <v>119</v>
      </c>
      <c r="AB37" s="2" t="s">
        <v>119</v>
      </c>
      <c r="AC37" s="2" t="s">
        <v>119</v>
      </c>
      <c r="AF37" s="10" t="s">
        <v>96</v>
      </c>
    </row>
    <row r="38" spans="1:32" x14ac:dyDescent="0.25">
      <c r="A38" s="10" t="s">
        <v>98</v>
      </c>
      <c r="B38" t="s">
        <v>99</v>
      </c>
      <c r="C38" s="10" t="s">
        <v>100</v>
      </c>
      <c r="D38" s="6">
        <v>45928</v>
      </c>
      <c r="E38" s="5" t="str">
        <f t="shared" si="0"/>
        <v>septembre</v>
      </c>
      <c r="F38" s="10" t="s">
        <v>25</v>
      </c>
      <c r="G38" s="12" t="s">
        <v>101</v>
      </c>
      <c r="H38" s="12" t="s">
        <v>32</v>
      </c>
      <c r="I38" s="10" t="s">
        <v>32</v>
      </c>
      <c r="J38">
        <v>30</v>
      </c>
      <c r="K38" s="12" t="s">
        <v>102</v>
      </c>
      <c r="L38" s="10" t="s">
        <v>103</v>
      </c>
      <c r="O38">
        <v>570</v>
      </c>
      <c r="R38">
        <v>155</v>
      </c>
      <c r="U38" s="10" t="s">
        <v>39</v>
      </c>
      <c r="Z38" t="s">
        <v>121</v>
      </c>
      <c r="AA38" s="2" t="s">
        <v>119</v>
      </c>
      <c r="AB38" t="s">
        <v>115</v>
      </c>
      <c r="AC38" s="2" t="s">
        <v>119</v>
      </c>
    </row>
    <row r="39" spans="1:32" x14ac:dyDescent="0.25">
      <c r="A39" s="10" t="s">
        <v>104</v>
      </c>
      <c r="B39" t="s">
        <v>105</v>
      </c>
      <c r="C39" s="10" t="s">
        <v>106</v>
      </c>
      <c r="D39" s="6">
        <v>45944</v>
      </c>
      <c r="E39" s="5" t="str">
        <f t="shared" si="0"/>
        <v>octobre</v>
      </c>
      <c r="F39" s="10" t="s">
        <v>25</v>
      </c>
      <c r="G39" s="12" t="s">
        <v>30</v>
      </c>
      <c r="H39" s="12" t="s">
        <v>32</v>
      </c>
      <c r="I39" s="10" t="s">
        <v>32</v>
      </c>
      <c r="K39" s="12" t="s">
        <v>27</v>
      </c>
      <c r="L39" s="10" t="s">
        <v>107</v>
      </c>
      <c r="R39">
        <v>171</v>
      </c>
      <c r="U39" s="10" t="s">
        <v>39</v>
      </c>
      <c r="Z39" t="s">
        <v>122</v>
      </c>
      <c r="AA39" s="2" t="s">
        <v>119</v>
      </c>
      <c r="AB39" s="7" t="s">
        <v>119</v>
      </c>
      <c r="AC39" s="2" t="s">
        <v>119</v>
      </c>
    </row>
    <row r="40" spans="1:32" x14ac:dyDescent="0.25">
      <c r="A40" s="10" t="s">
        <v>108</v>
      </c>
      <c r="B40" t="s">
        <v>110</v>
      </c>
      <c r="C40" s="10" t="s">
        <v>111</v>
      </c>
      <c r="D40" s="6">
        <v>45926</v>
      </c>
      <c r="E40" s="5" t="str">
        <f t="shared" si="0"/>
        <v>septembre</v>
      </c>
      <c r="F40" s="10" t="s">
        <v>25</v>
      </c>
      <c r="G40" s="12" t="s">
        <v>30</v>
      </c>
      <c r="H40" s="12" t="s">
        <v>32</v>
      </c>
      <c r="I40" s="10" t="s">
        <v>32</v>
      </c>
      <c r="K40" s="12" t="s">
        <v>27</v>
      </c>
      <c r="L40" s="10" t="s">
        <v>112</v>
      </c>
      <c r="O40">
        <v>667</v>
      </c>
      <c r="P40" s="10">
        <v>570</v>
      </c>
      <c r="U40" s="10" t="s">
        <v>50</v>
      </c>
      <c r="V40">
        <v>2</v>
      </c>
      <c r="X40" s="13" t="s">
        <v>114</v>
      </c>
      <c r="Z40" t="s">
        <v>118</v>
      </c>
      <c r="AA40" s="2" t="s">
        <v>119</v>
      </c>
      <c r="AB40" t="s">
        <v>115</v>
      </c>
      <c r="AC40" s="2" t="s">
        <v>119</v>
      </c>
    </row>
    <row r="41" spans="1:32" x14ac:dyDescent="0.25">
      <c r="A41" s="10" t="s">
        <v>109</v>
      </c>
      <c r="B41" t="s">
        <v>110</v>
      </c>
      <c r="C41" s="10" t="s">
        <v>111</v>
      </c>
      <c r="D41" s="6">
        <v>45926</v>
      </c>
      <c r="E41" s="5" t="str">
        <f t="shared" si="0"/>
        <v>septembre</v>
      </c>
      <c r="F41" s="10" t="s">
        <v>25</v>
      </c>
      <c r="G41" s="12" t="s">
        <v>30</v>
      </c>
      <c r="H41" s="12" t="s">
        <v>32</v>
      </c>
      <c r="I41" s="10" t="s">
        <v>32</v>
      </c>
      <c r="K41" s="12" t="s">
        <v>27</v>
      </c>
      <c r="L41" s="10" t="s">
        <v>112</v>
      </c>
      <c r="O41">
        <v>1050</v>
      </c>
      <c r="P41" s="10">
        <v>940</v>
      </c>
      <c r="U41" s="10" t="s">
        <v>50</v>
      </c>
      <c r="V41">
        <v>2</v>
      </c>
      <c r="X41">
        <v>57</v>
      </c>
      <c r="Z41" t="s">
        <v>121</v>
      </c>
      <c r="AA41" s="2" t="s">
        <v>119</v>
      </c>
      <c r="AB41" t="s">
        <v>115</v>
      </c>
      <c r="AC41" s="2" t="s">
        <v>119</v>
      </c>
    </row>
    <row r="42" spans="1:32" x14ac:dyDescent="0.25">
      <c r="A42" s="10" t="s">
        <v>116</v>
      </c>
      <c r="B42" t="s">
        <v>110</v>
      </c>
      <c r="C42" s="10" t="s">
        <v>111</v>
      </c>
      <c r="D42" s="6">
        <v>45958</v>
      </c>
      <c r="E42" s="5" t="str">
        <f t="shared" si="0"/>
        <v>octobre</v>
      </c>
      <c r="F42" s="10" t="s">
        <v>25</v>
      </c>
      <c r="G42" s="12" t="s">
        <v>30</v>
      </c>
      <c r="H42" s="12" t="s">
        <v>32</v>
      </c>
      <c r="I42" s="10" t="s">
        <v>32</v>
      </c>
      <c r="K42" s="12" t="s">
        <v>27</v>
      </c>
      <c r="L42" s="10" t="s">
        <v>117</v>
      </c>
      <c r="R42">
        <v>175</v>
      </c>
      <c r="U42" s="10" t="s">
        <v>50</v>
      </c>
      <c r="V42">
        <v>4</v>
      </c>
      <c r="X42">
        <v>500</v>
      </c>
      <c r="Z42" t="s">
        <v>118</v>
      </c>
      <c r="AA42" s="2" t="s">
        <v>119</v>
      </c>
      <c r="AB42" t="s">
        <v>119</v>
      </c>
      <c r="AC42" s="2" t="s">
        <v>119</v>
      </c>
    </row>
    <row r="43" spans="1:32" x14ac:dyDescent="0.25">
      <c r="A43" s="10" t="s">
        <v>125</v>
      </c>
      <c r="B43" t="s">
        <v>110</v>
      </c>
      <c r="C43" s="10" t="s">
        <v>111</v>
      </c>
      <c r="D43" s="6">
        <v>45960</v>
      </c>
      <c r="E43" s="5" t="str">
        <f t="shared" si="0"/>
        <v>octobre</v>
      </c>
      <c r="F43" s="10" t="s">
        <v>25</v>
      </c>
      <c r="G43" s="12" t="s">
        <v>30</v>
      </c>
      <c r="H43" s="12" t="s">
        <v>32</v>
      </c>
      <c r="I43" s="10" t="s">
        <v>32</v>
      </c>
      <c r="K43" s="12" t="s">
        <v>27</v>
      </c>
      <c r="L43" s="10" t="s">
        <v>135</v>
      </c>
      <c r="O43">
        <v>990</v>
      </c>
      <c r="P43">
        <v>875</v>
      </c>
      <c r="U43" s="10" t="s">
        <v>50</v>
      </c>
      <c r="V43">
        <v>5</v>
      </c>
      <c r="X43">
        <v>276</v>
      </c>
      <c r="Z43" t="s">
        <v>136</v>
      </c>
      <c r="AA43" s="2" t="s">
        <v>119</v>
      </c>
      <c r="AB43" t="s">
        <v>115</v>
      </c>
      <c r="AC43" s="2" t="s">
        <v>119</v>
      </c>
    </row>
    <row r="44" spans="1:32" x14ac:dyDescent="0.25">
      <c r="A44" s="10" t="s">
        <v>126</v>
      </c>
      <c r="B44" t="s">
        <v>110</v>
      </c>
      <c r="C44" s="10" t="s">
        <v>111</v>
      </c>
      <c r="D44" s="6">
        <v>45960</v>
      </c>
      <c r="E44" s="5" t="str">
        <f t="shared" si="0"/>
        <v>octobre</v>
      </c>
      <c r="F44" s="10" t="s">
        <v>25</v>
      </c>
      <c r="G44" s="12" t="s">
        <v>30</v>
      </c>
      <c r="H44" s="12" t="s">
        <v>32</v>
      </c>
      <c r="I44" s="10" t="s">
        <v>32</v>
      </c>
      <c r="K44" s="12" t="s">
        <v>27</v>
      </c>
      <c r="L44" s="10" t="s">
        <v>135</v>
      </c>
      <c r="O44">
        <v>1046</v>
      </c>
      <c r="P44">
        <v>937</v>
      </c>
      <c r="U44" s="10" t="s">
        <v>50</v>
      </c>
      <c r="V44">
        <v>4</v>
      </c>
      <c r="X44">
        <v>272</v>
      </c>
      <c r="AA44" s="2" t="s">
        <v>119</v>
      </c>
      <c r="AB44" t="s">
        <v>115</v>
      </c>
      <c r="AC44" s="2" t="s">
        <v>119</v>
      </c>
    </row>
    <row r="45" spans="1:32" x14ac:dyDescent="0.25">
      <c r="A45" s="10" t="s">
        <v>127</v>
      </c>
      <c r="B45" t="s">
        <v>110</v>
      </c>
      <c r="C45" s="10" t="s">
        <v>111</v>
      </c>
      <c r="D45" s="6">
        <v>45960</v>
      </c>
      <c r="E45" s="5" t="str">
        <f t="shared" si="0"/>
        <v>octobre</v>
      </c>
      <c r="F45" s="10" t="s">
        <v>25</v>
      </c>
      <c r="G45" s="12" t="s">
        <v>30</v>
      </c>
      <c r="H45" s="12" t="s">
        <v>32</v>
      </c>
      <c r="I45" s="10" t="s">
        <v>32</v>
      </c>
      <c r="K45" s="12" t="s">
        <v>27</v>
      </c>
      <c r="L45" s="10" t="s">
        <v>135</v>
      </c>
      <c r="O45">
        <v>843</v>
      </c>
      <c r="P45">
        <v>742</v>
      </c>
      <c r="U45" s="10" t="s">
        <v>95</v>
      </c>
      <c r="V45">
        <v>4</v>
      </c>
      <c r="X45">
        <v>54</v>
      </c>
      <c r="Z45" t="s">
        <v>136</v>
      </c>
      <c r="AA45" s="2" t="s">
        <v>119</v>
      </c>
      <c r="AB45" t="s">
        <v>115</v>
      </c>
      <c r="AC45" s="2" t="s">
        <v>119</v>
      </c>
    </row>
    <row r="46" spans="1:32" x14ac:dyDescent="0.25">
      <c r="A46" s="10" t="s">
        <v>128</v>
      </c>
      <c r="B46" t="s">
        <v>99</v>
      </c>
      <c r="C46" s="10" t="s">
        <v>100</v>
      </c>
      <c r="D46" s="6">
        <v>45960</v>
      </c>
      <c r="E46" s="5" t="str">
        <f t="shared" si="0"/>
        <v>octobre</v>
      </c>
      <c r="F46" s="10" t="s">
        <v>25</v>
      </c>
      <c r="G46" s="12" t="s">
        <v>30</v>
      </c>
      <c r="H46" s="12" t="s">
        <v>32</v>
      </c>
      <c r="I46" s="10" t="s">
        <v>32</v>
      </c>
      <c r="K46" s="12" t="s">
        <v>27</v>
      </c>
      <c r="L46" s="10" t="s">
        <v>135</v>
      </c>
      <c r="O46">
        <v>452</v>
      </c>
      <c r="P46">
        <v>419</v>
      </c>
      <c r="U46" s="10" t="s">
        <v>95</v>
      </c>
      <c r="V46">
        <v>1</v>
      </c>
      <c r="X46" s="13" t="s">
        <v>114</v>
      </c>
      <c r="Z46" t="s">
        <v>121</v>
      </c>
      <c r="AA46" s="2" t="s">
        <v>119</v>
      </c>
      <c r="AB46" t="s">
        <v>119</v>
      </c>
      <c r="AC46" s="2" t="s">
        <v>119</v>
      </c>
    </row>
    <row r="47" spans="1:32" x14ac:dyDescent="0.25">
      <c r="A47" s="10" t="s">
        <v>129</v>
      </c>
      <c r="B47" t="s">
        <v>131</v>
      </c>
      <c r="C47" s="10" t="s">
        <v>133</v>
      </c>
      <c r="D47" s="6">
        <v>45960</v>
      </c>
      <c r="E47" s="5" t="str">
        <f t="shared" si="0"/>
        <v>octobre</v>
      </c>
      <c r="F47" s="10" t="s">
        <v>25</v>
      </c>
      <c r="G47" s="12" t="s">
        <v>30</v>
      </c>
      <c r="H47" s="12" t="s">
        <v>32</v>
      </c>
      <c r="I47" s="10" t="s">
        <v>32</v>
      </c>
      <c r="K47" s="12" t="s">
        <v>27</v>
      </c>
      <c r="L47" s="10" t="s">
        <v>135</v>
      </c>
      <c r="O47">
        <v>485</v>
      </c>
      <c r="P47">
        <v>423</v>
      </c>
      <c r="U47" s="10" t="s">
        <v>39</v>
      </c>
      <c r="AA47" s="2" t="s">
        <v>119</v>
      </c>
      <c r="AB47" t="s">
        <v>115</v>
      </c>
      <c r="AC47" s="2" t="s">
        <v>119</v>
      </c>
    </row>
    <row r="48" spans="1:32" x14ac:dyDescent="0.25">
      <c r="A48" s="10" t="s">
        <v>130</v>
      </c>
      <c r="B48" t="s">
        <v>132</v>
      </c>
      <c r="C48" s="10" t="s">
        <v>134</v>
      </c>
      <c r="D48" s="6">
        <v>45960</v>
      </c>
      <c r="E48" s="5" t="str">
        <f t="shared" si="0"/>
        <v>octobre</v>
      </c>
      <c r="F48" s="10" t="s">
        <v>25</v>
      </c>
      <c r="G48" s="12" t="s">
        <v>30</v>
      </c>
      <c r="H48" s="12" t="s">
        <v>32</v>
      </c>
      <c r="I48" s="10" t="s">
        <v>32</v>
      </c>
      <c r="K48" s="12" t="s">
        <v>27</v>
      </c>
      <c r="L48" s="10" t="s">
        <v>135</v>
      </c>
      <c r="O48">
        <v>541</v>
      </c>
      <c r="P48">
        <v>476</v>
      </c>
      <c r="U48" s="10" t="s">
        <v>95</v>
      </c>
      <c r="V48">
        <v>4</v>
      </c>
      <c r="X48">
        <v>116</v>
      </c>
      <c r="Z48" t="s">
        <v>122</v>
      </c>
      <c r="AA48" s="2" t="s">
        <v>119</v>
      </c>
      <c r="AB48" t="s">
        <v>115</v>
      </c>
      <c r="AC48" s="2" t="s">
        <v>119</v>
      </c>
      <c r="AF48" s="14">
        <v>0.8</v>
      </c>
    </row>
    <row r="49" spans="1:32" x14ac:dyDescent="0.25">
      <c r="A49" s="10" t="s">
        <v>137</v>
      </c>
      <c r="B49" t="s">
        <v>28</v>
      </c>
      <c r="C49" s="10" t="s">
        <v>35</v>
      </c>
      <c r="D49" s="6">
        <v>45970</v>
      </c>
      <c r="E49" s="5" t="str">
        <f t="shared" si="0"/>
        <v>novembre</v>
      </c>
      <c r="F49" s="10" t="s">
        <v>25</v>
      </c>
      <c r="G49" s="12" t="s">
        <v>141</v>
      </c>
      <c r="H49" s="12" t="s">
        <v>32</v>
      </c>
      <c r="I49" s="10" t="s">
        <v>32</v>
      </c>
      <c r="J49">
        <v>10</v>
      </c>
      <c r="K49" s="12" t="s">
        <v>142</v>
      </c>
      <c r="L49" s="10" t="s">
        <v>143</v>
      </c>
      <c r="O49">
        <v>452</v>
      </c>
      <c r="P49">
        <v>427</v>
      </c>
      <c r="U49" s="10" t="s">
        <v>50</v>
      </c>
      <c r="V49">
        <v>5</v>
      </c>
      <c r="Z49" t="s">
        <v>121</v>
      </c>
      <c r="AA49" s="8" t="s">
        <v>119</v>
      </c>
      <c r="AB49" t="s">
        <v>119</v>
      </c>
      <c r="AC49" s="2" t="s">
        <v>119</v>
      </c>
    </row>
    <row r="50" spans="1:32" x14ac:dyDescent="0.25">
      <c r="A50" s="10" t="s">
        <v>138</v>
      </c>
      <c r="B50" t="s">
        <v>28</v>
      </c>
      <c r="C50" s="10" t="s">
        <v>35</v>
      </c>
      <c r="D50" s="6">
        <v>45970</v>
      </c>
      <c r="E50" s="5" t="str">
        <f t="shared" si="0"/>
        <v>novembre</v>
      </c>
      <c r="F50" s="10" t="s">
        <v>25</v>
      </c>
      <c r="G50" s="12" t="s">
        <v>141</v>
      </c>
      <c r="H50" s="12" t="s">
        <v>32</v>
      </c>
      <c r="I50" s="10" t="s">
        <v>32</v>
      </c>
      <c r="J50">
        <v>10</v>
      </c>
      <c r="K50" s="12" t="s">
        <v>142</v>
      </c>
      <c r="L50" s="10" t="s">
        <v>143</v>
      </c>
      <c r="O50">
        <v>439</v>
      </c>
      <c r="P50">
        <v>419</v>
      </c>
      <c r="U50" s="10" t="s">
        <v>50</v>
      </c>
      <c r="V50">
        <v>5</v>
      </c>
      <c r="Z50" t="s">
        <v>122</v>
      </c>
      <c r="AA50" s="8" t="s">
        <v>119</v>
      </c>
      <c r="AB50" t="s">
        <v>119</v>
      </c>
      <c r="AC50" s="2" t="s">
        <v>119</v>
      </c>
    </row>
    <row r="51" spans="1:32" x14ac:dyDescent="0.25">
      <c r="A51" s="10" t="s">
        <v>139</v>
      </c>
      <c r="B51" t="s">
        <v>28</v>
      </c>
      <c r="C51" s="10" t="s">
        <v>35</v>
      </c>
      <c r="D51" s="6">
        <v>45970</v>
      </c>
      <c r="E51" s="5" t="str">
        <f t="shared" si="0"/>
        <v>novembre</v>
      </c>
      <c r="F51" s="10" t="s">
        <v>25</v>
      </c>
      <c r="G51" s="12" t="s">
        <v>141</v>
      </c>
      <c r="H51" s="12" t="s">
        <v>32</v>
      </c>
      <c r="I51" s="10" t="s">
        <v>32</v>
      </c>
      <c r="J51">
        <v>10</v>
      </c>
      <c r="K51" s="12" t="s">
        <v>142</v>
      </c>
      <c r="L51" s="10" t="s">
        <v>143</v>
      </c>
      <c r="O51">
        <v>500</v>
      </c>
      <c r="P51">
        <v>472</v>
      </c>
      <c r="U51" s="10" t="s">
        <v>50</v>
      </c>
      <c r="V51">
        <v>5</v>
      </c>
      <c r="Z51" t="s">
        <v>121</v>
      </c>
      <c r="AA51" s="8" t="s">
        <v>119</v>
      </c>
      <c r="AB51" t="s">
        <v>119</v>
      </c>
      <c r="AC51" s="2" t="s">
        <v>119</v>
      </c>
    </row>
    <row r="52" spans="1:32" x14ac:dyDescent="0.25">
      <c r="A52" s="10" t="s">
        <v>140</v>
      </c>
      <c r="B52" t="s">
        <v>28</v>
      </c>
      <c r="C52" s="10" t="s">
        <v>35</v>
      </c>
      <c r="D52" s="6">
        <v>45970</v>
      </c>
      <c r="E52" s="5" t="str">
        <f t="shared" si="0"/>
        <v>novembre</v>
      </c>
      <c r="F52" s="10" t="s">
        <v>25</v>
      </c>
      <c r="G52" s="12" t="s">
        <v>141</v>
      </c>
      <c r="H52" s="12" t="s">
        <v>32</v>
      </c>
      <c r="I52" s="10" t="s">
        <v>32</v>
      </c>
      <c r="J52">
        <v>10</v>
      </c>
      <c r="K52" s="12" t="s">
        <v>142</v>
      </c>
      <c r="L52" s="10" t="s">
        <v>143</v>
      </c>
      <c r="O52">
        <v>485</v>
      </c>
      <c r="P52">
        <v>460</v>
      </c>
      <c r="U52" s="10" t="s">
        <v>50</v>
      </c>
      <c r="V52">
        <v>5</v>
      </c>
      <c r="Z52">
        <v>0</v>
      </c>
      <c r="AA52" s="8" t="s">
        <v>119</v>
      </c>
      <c r="AB52" t="s">
        <v>119</v>
      </c>
      <c r="AC52" s="2" t="s">
        <v>119</v>
      </c>
      <c r="AF52" t="s">
        <v>144</v>
      </c>
    </row>
    <row r="53" spans="1:32" x14ac:dyDescent="0.25">
      <c r="A53" s="10" t="s">
        <v>145</v>
      </c>
      <c r="B53" t="s">
        <v>99</v>
      </c>
      <c r="C53" s="10" t="s">
        <v>100</v>
      </c>
      <c r="D53" s="6">
        <v>45970</v>
      </c>
      <c r="E53" s="5" t="str">
        <f t="shared" si="0"/>
        <v>novembre</v>
      </c>
      <c r="F53" s="10" t="s">
        <v>25</v>
      </c>
      <c r="G53" s="12" t="s">
        <v>30</v>
      </c>
      <c r="H53" s="12" t="s">
        <v>32</v>
      </c>
      <c r="I53" s="10" t="s">
        <v>32</v>
      </c>
      <c r="K53" s="12" t="s">
        <v>27</v>
      </c>
      <c r="L53" s="10" t="s">
        <v>159</v>
      </c>
      <c r="O53">
        <v>430</v>
      </c>
      <c r="P53">
        <v>395</v>
      </c>
      <c r="U53" s="10" t="s">
        <v>95</v>
      </c>
      <c r="V53">
        <v>4</v>
      </c>
      <c r="X53" s="13" t="s">
        <v>114</v>
      </c>
      <c r="Z53" t="s">
        <v>121</v>
      </c>
      <c r="AA53" s="8" t="s">
        <v>119</v>
      </c>
      <c r="AB53" t="s">
        <v>119</v>
      </c>
      <c r="AC53" s="2" t="s">
        <v>119</v>
      </c>
    </row>
    <row r="54" spans="1:32" x14ac:dyDescent="0.25">
      <c r="A54" s="10" t="s">
        <v>146</v>
      </c>
      <c r="B54" t="s">
        <v>155</v>
      </c>
      <c r="C54" s="10" t="s">
        <v>157</v>
      </c>
      <c r="D54" s="6">
        <v>45970</v>
      </c>
      <c r="E54" s="5" t="str">
        <f t="shared" si="0"/>
        <v>novembre</v>
      </c>
      <c r="F54" s="10" t="s">
        <v>25</v>
      </c>
      <c r="G54" s="12" t="s">
        <v>30</v>
      </c>
      <c r="H54" s="12" t="s">
        <v>32</v>
      </c>
      <c r="I54" s="10" t="s">
        <v>32</v>
      </c>
      <c r="K54" s="12" t="s">
        <v>27</v>
      </c>
      <c r="L54" s="10" t="s">
        <v>159</v>
      </c>
      <c r="O54">
        <v>330</v>
      </c>
      <c r="P54">
        <v>297</v>
      </c>
      <c r="U54" s="10" t="s">
        <v>95</v>
      </c>
      <c r="V54">
        <v>4</v>
      </c>
      <c r="X54" s="13" t="s">
        <v>114</v>
      </c>
      <c r="Z54" t="s">
        <v>121</v>
      </c>
      <c r="AA54" s="8" t="s">
        <v>119</v>
      </c>
      <c r="AB54" t="s">
        <v>119</v>
      </c>
      <c r="AC54" s="2" t="s">
        <v>119</v>
      </c>
    </row>
    <row r="55" spans="1:32" x14ac:dyDescent="0.25">
      <c r="A55" s="10" t="s">
        <v>147</v>
      </c>
      <c r="B55" t="s">
        <v>155</v>
      </c>
      <c r="C55" s="10" t="s">
        <v>157</v>
      </c>
      <c r="D55" s="6">
        <v>45970</v>
      </c>
      <c r="E55" s="5" t="str">
        <f t="shared" si="0"/>
        <v>novembre</v>
      </c>
      <c r="F55" s="10" t="s">
        <v>25</v>
      </c>
      <c r="G55" s="12" t="s">
        <v>30</v>
      </c>
      <c r="H55" s="12" t="s">
        <v>32</v>
      </c>
      <c r="I55" s="10" t="s">
        <v>32</v>
      </c>
      <c r="K55" s="12" t="s">
        <v>27</v>
      </c>
      <c r="L55" s="10" t="s">
        <v>159</v>
      </c>
      <c r="O55">
        <v>338</v>
      </c>
      <c r="P55">
        <v>305</v>
      </c>
      <c r="U55" s="10" t="s">
        <v>95</v>
      </c>
      <c r="V55">
        <v>4</v>
      </c>
      <c r="X55" s="13" t="s">
        <v>114</v>
      </c>
      <c r="Z55" t="s">
        <v>121</v>
      </c>
      <c r="AA55" s="8" t="s">
        <v>119</v>
      </c>
      <c r="AB55" t="s">
        <v>119</v>
      </c>
      <c r="AC55" s="2" t="s">
        <v>119</v>
      </c>
    </row>
    <row r="56" spans="1:32" x14ac:dyDescent="0.25">
      <c r="A56" s="10" t="s">
        <v>148</v>
      </c>
      <c r="B56" t="s">
        <v>155</v>
      </c>
      <c r="C56" s="10" t="s">
        <v>157</v>
      </c>
      <c r="D56" s="6">
        <v>45970</v>
      </c>
      <c r="E56" s="5" t="str">
        <f t="shared" si="0"/>
        <v>novembre</v>
      </c>
      <c r="F56" s="10" t="s">
        <v>25</v>
      </c>
      <c r="G56" s="12" t="s">
        <v>30</v>
      </c>
      <c r="H56" s="12" t="s">
        <v>32</v>
      </c>
      <c r="I56" s="10" t="s">
        <v>32</v>
      </c>
      <c r="K56" s="12" t="s">
        <v>27</v>
      </c>
      <c r="L56" s="10" t="s">
        <v>159</v>
      </c>
      <c r="O56">
        <v>337</v>
      </c>
      <c r="P56">
        <v>300</v>
      </c>
      <c r="U56" s="10" t="s">
        <v>95</v>
      </c>
      <c r="V56">
        <v>4</v>
      </c>
      <c r="X56" s="13" t="s">
        <v>114</v>
      </c>
      <c r="Z56" t="s">
        <v>121</v>
      </c>
      <c r="AA56" s="8" t="s">
        <v>119</v>
      </c>
      <c r="AB56" t="s">
        <v>119</v>
      </c>
      <c r="AC56" s="2" t="s">
        <v>119</v>
      </c>
    </row>
    <row r="57" spans="1:32" x14ac:dyDescent="0.25">
      <c r="A57" s="10" t="s">
        <v>149</v>
      </c>
      <c r="B57" t="s">
        <v>156</v>
      </c>
      <c r="C57" s="10" t="s">
        <v>158</v>
      </c>
      <c r="D57" s="6">
        <v>45970</v>
      </c>
      <c r="E57" s="5" t="str">
        <f t="shared" si="0"/>
        <v>novembre</v>
      </c>
      <c r="F57" s="10" t="s">
        <v>25</v>
      </c>
      <c r="G57" s="12" t="s">
        <v>30</v>
      </c>
      <c r="H57" s="12" t="s">
        <v>32</v>
      </c>
      <c r="I57" s="10" t="s">
        <v>32</v>
      </c>
      <c r="K57" s="12" t="s">
        <v>27</v>
      </c>
      <c r="L57" s="10" t="s">
        <v>159</v>
      </c>
      <c r="O57">
        <v>360</v>
      </c>
      <c r="P57">
        <v>325</v>
      </c>
      <c r="U57" s="10" t="s">
        <v>95</v>
      </c>
      <c r="V57">
        <v>4</v>
      </c>
      <c r="X57" s="13" t="s">
        <v>114</v>
      </c>
      <c r="Z57" t="s">
        <v>121</v>
      </c>
      <c r="AA57" s="8" t="s">
        <v>119</v>
      </c>
      <c r="AB57" t="s">
        <v>119</v>
      </c>
      <c r="AC57" s="2" t="s">
        <v>119</v>
      </c>
    </row>
    <row r="58" spans="1:32" x14ac:dyDescent="0.25">
      <c r="A58" s="10" t="s">
        <v>150</v>
      </c>
      <c r="B58" t="s">
        <v>156</v>
      </c>
      <c r="C58" s="10" t="s">
        <v>158</v>
      </c>
      <c r="D58" s="6">
        <v>45970</v>
      </c>
      <c r="E58" s="5" t="str">
        <f t="shared" si="0"/>
        <v>novembre</v>
      </c>
      <c r="F58" s="10" t="s">
        <v>25</v>
      </c>
      <c r="G58" s="12" t="s">
        <v>30</v>
      </c>
      <c r="H58" s="12" t="s">
        <v>32</v>
      </c>
      <c r="I58" s="10" t="s">
        <v>32</v>
      </c>
      <c r="K58" s="12" t="s">
        <v>27</v>
      </c>
      <c r="L58" s="10" t="s">
        <v>159</v>
      </c>
      <c r="O58">
        <v>375</v>
      </c>
      <c r="P58">
        <v>329</v>
      </c>
      <c r="U58" s="10" t="s">
        <v>50</v>
      </c>
      <c r="V58">
        <v>3</v>
      </c>
      <c r="X58" s="13" t="s">
        <v>114</v>
      </c>
      <c r="Z58" t="s">
        <v>121</v>
      </c>
      <c r="AA58" s="8" t="s">
        <v>119</v>
      </c>
      <c r="AB58" t="s">
        <v>119</v>
      </c>
      <c r="AC58" s="2" t="s">
        <v>119</v>
      </c>
      <c r="AF58" s="14">
        <v>0.75</v>
      </c>
    </row>
    <row r="59" spans="1:32" x14ac:dyDescent="0.25">
      <c r="A59" s="10" t="s">
        <v>151</v>
      </c>
      <c r="B59" t="s">
        <v>156</v>
      </c>
      <c r="C59" s="10" t="s">
        <v>158</v>
      </c>
      <c r="D59" s="6">
        <v>45970</v>
      </c>
      <c r="E59" s="5" t="str">
        <f t="shared" si="0"/>
        <v>novembre</v>
      </c>
      <c r="F59" s="10" t="s">
        <v>25</v>
      </c>
      <c r="G59" s="12" t="s">
        <v>30</v>
      </c>
      <c r="H59" s="12" t="s">
        <v>32</v>
      </c>
      <c r="I59" s="10" t="s">
        <v>32</v>
      </c>
      <c r="K59" s="12" t="s">
        <v>27</v>
      </c>
      <c r="L59" s="10" t="s">
        <v>159</v>
      </c>
      <c r="O59">
        <v>380</v>
      </c>
      <c r="P59">
        <v>346</v>
      </c>
      <c r="U59" s="10" t="s">
        <v>39</v>
      </c>
      <c r="Z59" t="s">
        <v>121</v>
      </c>
      <c r="AA59" s="8" t="s">
        <v>119</v>
      </c>
      <c r="AB59" t="s">
        <v>119</v>
      </c>
      <c r="AC59" s="2" t="s">
        <v>119</v>
      </c>
    </row>
    <row r="60" spans="1:32" x14ac:dyDescent="0.25">
      <c r="A60" s="10" t="s">
        <v>152</v>
      </c>
      <c r="B60" t="s">
        <v>110</v>
      </c>
      <c r="C60" s="10" t="s">
        <v>111</v>
      </c>
      <c r="D60" s="6">
        <v>45970</v>
      </c>
      <c r="E60" s="5" t="str">
        <f t="shared" si="0"/>
        <v>novembre</v>
      </c>
      <c r="F60" s="10" t="s">
        <v>25</v>
      </c>
      <c r="G60" s="12" t="s">
        <v>30</v>
      </c>
      <c r="H60" s="12" t="s">
        <v>32</v>
      </c>
      <c r="I60" s="10" t="s">
        <v>32</v>
      </c>
      <c r="K60" s="12" t="s">
        <v>27</v>
      </c>
      <c r="L60" s="10" t="s">
        <v>159</v>
      </c>
      <c r="O60">
        <v>1220</v>
      </c>
      <c r="U60" s="10" t="s">
        <v>50</v>
      </c>
      <c r="V60">
        <v>5</v>
      </c>
      <c r="Z60" t="s">
        <v>121</v>
      </c>
      <c r="AA60" s="8" t="s">
        <v>119</v>
      </c>
      <c r="AB60" t="s">
        <v>119</v>
      </c>
      <c r="AC60" s="2" t="s">
        <v>119</v>
      </c>
      <c r="AF60" t="s">
        <v>160</v>
      </c>
    </row>
    <row r="61" spans="1:32" x14ac:dyDescent="0.25">
      <c r="A61" s="10" t="s">
        <v>153</v>
      </c>
      <c r="B61" t="s">
        <v>110</v>
      </c>
      <c r="C61" s="10" t="s">
        <v>111</v>
      </c>
      <c r="D61" s="6">
        <v>45970</v>
      </c>
      <c r="E61" s="5" t="str">
        <f t="shared" si="0"/>
        <v>novembre</v>
      </c>
      <c r="F61" s="10" t="s">
        <v>25</v>
      </c>
      <c r="G61" s="12" t="s">
        <v>30</v>
      </c>
      <c r="H61" s="12" t="s">
        <v>32</v>
      </c>
      <c r="I61" s="10" t="s">
        <v>32</v>
      </c>
      <c r="K61" s="12" t="s">
        <v>27</v>
      </c>
      <c r="L61" s="10" t="s">
        <v>159</v>
      </c>
      <c r="O61">
        <v>865</v>
      </c>
      <c r="P61">
        <v>761</v>
      </c>
      <c r="U61" s="10" t="s">
        <v>50</v>
      </c>
      <c r="V61">
        <v>4</v>
      </c>
      <c r="X61">
        <v>24</v>
      </c>
      <c r="Z61" t="s">
        <v>121</v>
      </c>
      <c r="AA61" s="8" t="s">
        <v>119</v>
      </c>
      <c r="AB61" t="s">
        <v>119</v>
      </c>
      <c r="AC61" s="2" t="s">
        <v>119</v>
      </c>
    </row>
    <row r="62" spans="1:32" x14ac:dyDescent="0.25">
      <c r="A62" s="10" t="s">
        <v>154</v>
      </c>
      <c r="B62" t="s">
        <v>110</v>
      </c>
      <c r="C62" s="10" t="s">
        <v>111</v>
      </c>
      <c r="D62" s="6">
        <v>45970</v>
      </c>
      <c r="E62" s="5" t="str">
        <f t="shared" si="0"/>
        <v>novembre</v>
      </c>
      <c r="F62" s="10" t="s">
        <v>25</v>
      </c>
      <c r="G62" s="12" t="s">
        <v>30</v>
      </c>
      <c r="H62" s="12" t="s">
        <v>32</v>
      </c>
      <c r="I62" s="10" t="s">
        <v>32</v>
      </c>
      <c r="K62" s="12" t="s">
        <v>27</v>
      </c>
      <c r="L62" s="10" t="s">
        <v>159</v>
      </c>
      <c r="O62">
        <v>1025</v>
      </c>
      <c r="P62">
        <v>912</v>
      </c>
      <c r="U62" s="10" t="s">
        <v>50</v>
      </c>
      <c r="V62">
        <v>5</v>
      </c>
      <c r="X62">
        <v>490</v>
      </c>
      <c r="Z62" t="s">
        <v>121</v>
      </c>
      <c r="AA62" s="8" t="s">
        <v>119</v>
      </c>
      <c r="AB62" t="s">
        <v>119</v>
      </c>
      <c r="AC62" s="2" t="s">
        <v>119</v>
      </c>
    </row>
    <row r="63" spans="1:32" x14ac:dyDescent="0.25">
      <c r="A63" s="10" t="s">
        <v>161</v>
      </c>
      <c r="B63" t="s">
        <v>28</v>
      </c>
      <c r="C63" s="10" t="s">
        <v>35</v>
      </c>
      <c r="D63" s="6">
        <v>45972</v>
      </c>
      <c r="E63" s="5" t="str">
        <f t="shared" si="0"/>
        <v>novembre</v>
      </c>
      <c r="F63" s="10" t="s">
        <v>25</v>
      </c>
      <c r="G63" s="12" t="s">
        <v>30</v>
      </c>
      <c r="H63" s="12" t="s">
        <v>32</v>
      </c>
      <c r="I63" s="10" t="s">
        <v>32</v>
      </c>
      <c r="K63" s="12" t="s">
        <v>142</v>
      </c>
      <c r="L63" s="10" t="s">
        <v>165</v>
      </c>
      <c r="O63">
        <v>510</v>
      </c>
      <c r="P63">
        <v>485</v>
      </c>
      <c r="U63" s="10" t="s">
        <v>50</v>
      </c>
      <c r="V63">
        <v>4</v>
      </c>
      <c r="X63">
        <v>32</v>
      </c>
      <c r="Z63" t="s">
        <v>123</v>
      </c>
      <c r="AA63" s="8" t="s">
        <v>119</v>
      </c>
      <c r="AB63" t="s">
        <v>115</v>
      </c>
      <c r="AC63" s="2" t="s">
        <v>119</v>
      </c>
    </row>
    <row r="64" spans="1:32" x14ac:dyDescent="0.25">
      <c r="A64" s="10" t="s">
        <v>162</v>
      </c>
      <c r="B64" t="s">
        <v>163</v>
      </c>
      <c r="C64" s="10" t="s">
        <v>164</v>
      </c>
      <c r="D64" s="6">
        <v>45972</v>
      </c>
      <c r="E64" s="5" t="str">
        <f t="shared" si="0"/>
        <v>novembre</v>
      </c>
      <c r="F64" s="10" t="s">
        <v>25</v>
      </c>
      <c r="G64" s="12" t="s">
        <v>30</v>
      </c>
      <c r="H64" s="12" t="s">
        <v>32</v>
      </c>
      <c r="I64" s="10" t="s">
        <v>32</v>
      </c>
      <c r="K64" s="12" t="s">
        <v>142</v>
      </c>
      <c r="L64" s="10" t="s">
        <v>165</v>
      </c>
      <c r="O64">
        <v>401</v>
      </c>
      <c r="P64">
        <v>401</v>
      </c>
      <c r="U64" s="10" t="s">
        <v>50</v>
      </c>
      <c r="V64">
        <v>4</v>
      </c>
      <c r="X64">
        <v>6</v>
      </c>
      <c r="Z64" t="s">
        <v>121</v>
      </c>
      <c r="AA64" s="8" t="s">
        <v>119</v>
      </c>
      <c r="AB64" t="s">
        <v>115</v>
      </c>
      <c r="AC64" s="2" t="s">
        <v>119</v>
      </c>
    </row>
    <row r="65" spans="1:32" x14ac:dyDescent="0.25">
      <c r="A65" s="10" t="s">
        <v>166</v>
      </c>
      <c r="B65" t="s">
        <v>155</v>
      </c>
      <c r="C65" s="10" t="s">
        <v>157</v>
      </c>
      <c r="D65" s="6">
        <v>45968</v>
      </c>
      <c r="E65" s="5" t="str">
        <f t="shared" si="0"/>
        <v>novembre</v>
      </c>
      <c r="F65" s="10" t="s">
        <v>25</v>
      </c>
      <c r="G65" s="12" t="s">
        <v>30</v>
      </c>
      <c r="H65" s="12" t="s">
        <v>32</v>
      </c>
      <c r="I65" s="10" t="s">
        <v>32</v>
      </c>
      <c r="K65" s="12" t="s">
        <v>27</v>
      </c>
      <c r="L65" s="10" t="s">
        <v>186</v>
      </c>
      <c r="R65">
        <v>150</v>
      </c>
      <c r="U65" s="10" t="s">
        <v>39</v>
      </c>
      <c r="Z65" t="s">
        <v>121</v>
      </c>
      <c r="AA65" s="8" t="s">
        <v>119</v>
      </c>
      <c r="AB65" t="s">
        <v>115</v>
      </c>
      <c r="AC65" s="2" t="s">
        <v>119</v>
      </c>
    </row>
    <row r="66" spans="1:32" x14ac:dyDescent="0.25">
      <c r="A66" s="10" t="s">
        <v>167</v>
      </c>
      <c r="B66" t="s">
        <v>155</v>
      </c>
      <c r="C66" s="10" t="s">
        <v>157</v>
      </c>
      <c r="D66" s="6">
        <v>45968</v>
      </c>
      <c r="E66" s="5" t="str">
        <f t="shared" si="0"/>
        <v>novembre</v>
      </c>
      <c r="F66" s="10" t="s">
        <v>25</v>
      </c>
      <c r="G66" s="12" t="s">
        <v>30</v>
      </c>
      <c r="H66" s="12" t="s">
        <v>32</v>
      </c>
      <c r="I66" s="10" t="s">
        <v>32</v>
      </c>
      <c r="K66" s="12" t="s">
        <v>27</v>
      </c>
      <c r="L66" s="10" t="s">
        <v>186</v>
      </c>
      <c r="R66">
        <v>141</v>
      </c>
      <c r="U66" s="10" t="s">
        <v>39</v>
      </c>
      <c r="Z66">
        <v>0</v>
      </c>
      <c r="AA66" s="8" t="s">
        <v>119</v>
      </c>
      <c r="AB66" t="s">
        <v>115</v>
      </c>
      <c r="AC66" s="2" t="s">
        <v>119</v>
      </c>
    </row>
    <row r="67" spans="1:32" x14ac:dyDescent="0.25">
      <c r="A67" s="10" t="s">
        <v>168</v>
      </c>
      <c r="B67" t="s">
        <v>37</v>
      </c>
      <c r="C67" s="10" t="s">
        <v>38</v>
      </c>
      <c r="D67" s="6">
        <v>45968</v>
      </c>
      <c r="E67" s="5" t="str">
        <f t="shared" ref="E67:E121" si="1">TEXT(D67,"mmmm")</f>
        <v>novembre</v>
      </c>
      <c r="F67" s="10" t="s">
        <v>25</v>
      </c>
      <c r="G67" s="12" t="s">
        <v>30</v>
      </c>
      <c r="H67" s="12" t="s">
        <v>32</v>
      </c>
      <c r="I67" s="10" t="s">
        <v>32</v>
      </c>
      <c r="K67" s="12" t="s">
        <v>27</v>
      </c>
      <c r="L67" s="10" t="s">
        <v>186</v>
      </c>
      <c r="O67">
        <v>641</v>
      </c>
      <c r="P67">
        <v>630</v>
      </c>
      <c r="U67" s="10" t="s">
        <v>50</v>
      </c>
      <c r="V67">
        <v>3</v>
      </c>
      <c r="X67">
        <v>62</v>
      </c>
      <c r="Z67" t="s">
        <v>121</v>
      </c>
      <c r="AA67" s="8" t="s">
        <v>119</v>
      </c>
      <c r="AB67" t="s">
        <v>115</v>
      </c>
      <c r="AC67" s="2" t="s">
        <v>119</v>
      </c>
    </row>
    <row r="68" spans="1:32" x14ac:dyDescent="0.25">
      <c r="A68" s="10" t="s">
        <v>169</v>
      </c>
      <c r="B68" t="s">
        <v>180</v>
      </c>
      <c r="C68" s="10" t="s">
        <v>183</v>
      </c>
      <c r="D68" s="6">
        <v>45968</v>
      </c>
      <c r="E68" s="5" t="str">
        <f t="shared" si="1"/>
        <v>novembre</v>
      </c>
      <c r="F68" s="10" t="s">
        <v>25</v>
      </c>
      <c r="G68" s="12" t="s">
        <v>30</v>
      </c>
      <c r="H68" s="12" t="s">
        <v>32</v>
      </c>
      <c r="I68" s="10" t="s">
        <v>32</v>
      </c>
      <c r="K68" s="12" t="s">
        <v>27</v>
      </c>
      <c r="L68" s="10" t="s">
        <v>186</v>
      </c>
      <c r="R68">
        <v>140</v>
      </c>
      <c r="U68" s="10" t="s">
        <v>39</v>
      </c>
      <c r="AA68" s="8" t="s">
        <v>119</v>
      </c>
      <c r="AB68" t="s">
        <v>115</v>
      </c>
      <c r="AC68" s="2" t="s">
        <v>119</v>
      </c>
    </row>
    <row r="69" spans="1:32" x14ac:dyDescent="0.25">
      <c r="A69" s="10" t="s">
        <v>170</v>
      </c>
      <c r="B69" t="s">
        <v>163</v>
      </c>
      <c r="C69" s="10" t="s">
        <v>164</v>
      </c>
      <c r="D69" s="6">
        <v>45968</v>
      </c>
      <c r="E69" s="5" t="str">
        <f t="shared" si="1"/>
        <v>novembre</v>
      </c>
      <c r="F69" s="10" t="s">
        <v>25</v>
      </c>
      <c r="G69" s="12" t="s">
        <v>30</v>
      </c>
      <c r="H69" s="12" t="s">
        <v>32</v>
      </c>
      <c r="I69" s="10" t="s">
        <v>32</v>
      </c>
      <c r="K69" s="12" t="s">
        <v>27</v>
      </c>
      <c r="L69" s="10" t="s">
        <v>186</v>
      </c>
      <c r="U69" t="s">
        <v>50</v>
      </c>
      <c r="V69">
        <v>4</v>
      </c>
      <c r="X69">
        <v>8</v>
      </c>
      <c r="Z69" t="s">
        <v>121</v>
      </c>
      <c r="AA69" s="8" t="s">
        <v>119</v>
      </c>
      <c r="AB69" t="s">
        <v>115</v>
      </c>
      <c r="AC69" s="2" t="s">
        <v>119</v>
      </c>
      <c r="AF69" t="s">
        <v>187</v>
      </c>
    </row>
    <row r="70" spans="1:32" x14ac:dyDescent="0.25">
      <c r="A70" s="10" t="s">
        <v>171</v>
      </c>
      <c r="B70" t="s">
        <v>163</v>
      </c>
      <c r="C70" s="10" t="s">
        <v>164</v>
      </c>
      <c r="D70" s="6">
        <v>45968</v>
      </c>
      <c r="E70" s="5" t="str">
        <f t="shared" si="1"/>
        <v>novembre</v>
      </c>
      <c r="F70" s="10" t="s">
        <v>25</v>
      </c>
      <c r="G70" s="12" t="s">
        <v>30</v>
      </c>
      <c r="H70" s="12" t="s">
        <v>32</v>
      </c>
      <c r="I70" s="10" t="s">
        <v>32</v>
      </c>
      <c r="K70" s="12" t="s">
        <v>27</v>
      </c>
      <c r="L70" s="10" t="s">
        <v>186</v>
      </c>
      <c r="O70">
        <v>458</v>
      </c>
      <c r="P70">
        <v>458</v>
      </c>
      <c r="U70" t="s">
        <v>50</v>
      </c>
      <c r="V70">
        <v>3</v>
      </c>
      <c r="X70">
        <v>8</v>
      </c>
      <c r="Z70" t="s">
        <v>122</v>
      </c>
      <c r="AA70" s="8" t="s">
        <v>119</v>
      </c>
      <c r="AB70" t="s">
        <v>115</v>
      </c>
      <c r="AC70" s="2" t="s">
        <v>119</v>
      </c>
    </row>
    <row r="71" spans="1:32" x14ac:dyDescent="0.25">
      <c r="A71" s="10" t="s">
        <v>172</v>
      </c>
      <c r="B71" t="s">
        <v>163</v>
      </c>
      <c r="C71" s="10" t="s">
        <v>164</v>
      </c>
      <c r="D71" s="6">
        <v>45968</v>
      </c>
      <c r="E71" s="5" t="str">
        <f t="shared" si="1"/>
        <v>novembre</v>
      </c>
      <c r="F71" s="10" t="s">
        <v>25</v>
      </c>
      <c r="G71" s="12" t="s">
        <v>30</v>
      </c>
      <c r="H71" s="12" t="s">
        <v>32</v>
      </c>
      <c r="I71" s="10" t="s">
        <v>32</v>
      </c>
      <c r="K71" s="12" t="s">
        <v>27</v>
      </c>
      <c r="L71" s="10" t="s">
        <v>186</v>
      </c>
      <c r="O71">
        <v>372</v>
      </c>
      <c r="P71">
        <v>372</v>
      </c>
      <c r="U71" t="s">
        <v>50</v>
      </c>
      <c r="V71">
        <v>4</v>
      </c>
      <c r="X71">
        <v>6</v>
      </c>
      <c r="Z71" t="s">
        <v>136</v>
      </c>
      <c r="AA71" s="8" t="s">
        <v>119</v>
      </c>
      <c r="AB71" t="s">
        <v>115</v>
      </c>
      <c r="AC71" s="2" t="s">
        <v>119</v>
      </c>
    </row>
    <row r="72" spans="1:32" x14ac:dyDescent="0.25">
      <c r="A72" s="10" t="s">
        <v>173</v>
      </c>
      <c r="B72" t="s">
        <v>163</v>
      </c>
      <c r="C72" s="10" t="s">
        <v>164</v>
      </c>
      <c r="D72" s="6">
        <v>45968</v>
      </c>
      <c r="E72" s="5" t="str">
        <f t="shared" si="1"/>
        <v>novembre</v>
      </c>
      <c r="F72" s="10" t="s">
        <v>25</v>
      </c>
      <c r="G72" s="12" t="s">
        <v>30</v>
      </c>
      <c r="H72" s="12" t="s">
        <v>32</v>
      </c>
      <c r="I72" s="10" t="s">
        <v>32</v>
      </c>
      <c r="K72" s="12" t="s">
        <v>27</v>
      </c>
      <c r="L72" s="10" t="s">
        <v>186</v>
      </c>
      <c r="O72">
        <v>443</v>
      </c>
      <c r="P72">
        <v>443</v>
      </c>
      <c r="U72" t="s">
        <v>50</v>
      </c>
      <c r="V72">
        <v>4</v>
      </c>
      <c r="X72">
        <v>4</v>
      </c>
      <c r="Z72" t="s">
        <v>121</v>
      </c>
      <c r="AA72" s="8" t="s">
        <v>119</v>
      </c>
      <c r="AB72" t="s">
        <v>115</v>
      </c>
      <c r="AC72" s="2" t="s">
        <v>119</v>
      </c>
    </row>
    <row r="73" spans="1:32" x14ac:dyDescent="0.25">
      <c r="A73" s="10" t="s">
        <v>174</v>
      </c>
      <c r="B73" t="s">
        <v>163</v>
      </c>
      <c r="C73" s="10" t="s">
        <v>164</v>
      </c>
      <c r="D73" s="6">
        <v>45968</v>
      </c>
      <c r="E73" s="5" t="str">
        <f t="shared" si="1"/>
        <v>novembre</v>
      </c>
      <c r="F73" s="10" t="s">
        <v>25</v>
      </c>
      <c r="G73" s="12" t="s">
        <v>30</v>
      </c>
      <c r="H73" s="12" t="s">
        <v>32</v>
      </c>
      <c r="I73" s="10" t="s">
        <v>32</v>
      </c>
      <c r="K73" s="12" t="s">
        <v>27</v>
      </c>
      <c r="L73" s="10" t="s">
        <v>186</v>
      </c>
      <c r="O73">
        <v>372</v>
      </c>
      <c r="P73">
        <v>372</v>
      </c>
      <c r="U73" t="s">
        <v>50</v>
      </c>
      <c r="V73">
        <v>4</v>
      </c>
      <c r="X73">
        <v>8</v>
      </c>
      <c r="Z73" t="s">
        <v>121</v>
      </c>
      <c r="AA73" s="8" t="s">
        <v>119</v>
      </c>
      <c r="AB73" t="s">
        <v>115</v>
      </c>
      <c r="AC73" s="2" t="s">
        <v>119</v>
      </c>
    </row>
    <row r="74" spans="1:32" x14ac:dyDescent="0.25">
      <c r="A74" s="10" t="s">
        <v>175</v>
      </c>
      <c r="B74" t="s">
        <v>47</v>
      </c>
      <c r="C74" s="10" t="s">
        <v>46</v>
      </c>
      <c r="D74" s="6">
        <v>45968</v>
      </c>
      <c r="E74" s="5" t="str">
        <f t="shared" si="1"/>
        <v>novembre</v>
      </c>
      <c r="F74" s="10" t="s">
        <v>25</v>
      </c>
      <c r="G74" s="12" t="s">
        <v>30</v>
      </c>
      <c r="H74" s="12" t="s">
        <v>32</v>
      </c>
      <c r="I74" s="10" t="s">
        <v>32</v>
      </c>
      <c r="K74" s="12" t="s">
        <v>27</v>
      </c>
      <c r="L74" s="10" t="s">
        <v>186</v>
      </c>
      <c r="O74">
        <v>555</v>
      </c>
      <c r="P74">
        <v>471</v>
      </c>
      <c r="U74" t="s">
        <v>50</v>
      </c>
      <c r="V74">
        <v>4</v>
      </c>
      <c r="X74">
        <v>28</v>
      </c>
      <c r="Z74" t="s">
        <v>121</v>
      </c>
      <c r="AA74" s="8" t="s">
        <v>119</v>
      </c>
      <c r="AB74" t="s">
        <v>115</v>
      </c>
      <c r="AC74" s="2" t="s">
        <v>119</v>
      </c>
      <c r="AF74" t="s">
        <v>187</v>
      </c>
    </row>
    <row r="75" spans="1:32" x14ac:dyDescent="0.25">
      <c r="A75" s="10" t="s">
        <v>176</v>
      </c>
      <c r="B75" t="s">
        <v>47</v>
      </c>
      <c r="C75" s="10" t="s">
        <v>46</v>
      </c>
      <c r="D75" s="6">
        <v>45968</v>
      </c>
      <c r="E75" s="5" t="str">
        <f t="shared" si="1"/>
        <v>novembre</v>
      </c>
      <c r="F75" s="10" t="s">
        <v>25</v>
      </c>
      <c r="G75" s="12" t="s">
        <v>30</v>
      </c>
      <c r="H75" s="12" t="s">
        <v>32</v>
      </c>
      <c r="I75" s="10" t="s">
        <v>32</v>
      </c>
      <c r="K75" s="12" t="s">
        <v>27</v>
      </c>
      <c r="L75" s="10" t="s">
        <v>186</v>
      </c>
      <c r="O75">
        <v>400</v>
      </c>
      <c r="P75">
        <v>340</v>
      </c>
      <c r="U75" t="s">
        <v>50</v>
      </c>
      <c r="V75">
        <v>2</v>
      </c>
      <c r="X75" s="13" t="s">
        <v>114</v>
      </c>
      <c r="Z75" t="s">
        <v>121</v>
      </c>
      <c r="AA75" s="8" t="s">
        <v>119</v>
      </c>
      <c r="AB75" t="s">
        <v>115</v>
      </c>
      <c r="AC75" s="2" t="s">
        <v>119</v>
      </c>
      <c r="AF75" t="s">
        <v>187</v>
      </c>
    </row>
    <row r="76" spans="1:32" x14ac:dyDescent="0.25">
      <c r="A76" s="10" t="s">
        <v>177</v>
      </c>
      <c r="B76" t="s">
        <v>181</v>
      </c>
      <c r="C76" s="10" t="s">
        <v>184</v>
      </c>
      <c r="D76" s="6">
        <v>45968</v>
      </c>
      <c r="E76" s="5" t="str">
        <f t="shared" si="1"/>
        <v>novembre</v>
      </c>
      <c r="F76" s="10" t="s">
        <v>25</v>
      </c>
      <c r="G76" s="12" t="s">
        <v>30</v>
      </c>
      <c r="H76" s="12" t="s">
        <v>32</v>
      </c>
      <c r="I76" s="10" t="s">
        <v>32</v>
      </c>
      <c r="K76" s="12" t="s">
        <v>27</v>
      </c>
      <c r="L76" s="10" t="s">
        <v>186</v>
      </c>
      <c r="O76">
        <v>550</v>
      </c>
      <c r="P76">
        <v>468</v>
      </c>
      <c r="U76" t="s">
        <v>39</v>
      </c>
      <c r="Z76" t="s">
        <v>122</v>
      </c>
      <c r="AA76" s="8" t="s">
        <v>119</v>
      </c>
      <c r="AB76" t="s">
        <v>115</v>
      </c>
      <c r="AC76" s="2" t="s">
        <v>119</v>
      </c>
      <c r="AF76" t="s">
        <v>187</v>
      </c>
    </row>
    <row r="77" spans="1:32" x14ac:dyDescent="0.25">
      <c r="A77" s="10" t="s">
        <v>178</v>
      </c>
      <c r="B77" t="s">
        <v>156</v>
      </c>
      <c r="C77" s="10" t="s">
        <v>158</v>
      </c>
      <c r="D77" s="6">
        <v>45968</v>
      </c>
      <c r="E77" s="5" t="str">
        <f t="shared" si="1"/>
        <v>novembre</v>
      </c>
      <c r="F77" s="10" t="s">
        <v>25</v>
      </c>
      <c r="G77" s="12" t="s">
        <v>30</v>
      </c>
      <c r="H77" s="12" t="s">
        <v>32</v>
      </c>
      <c r="I77" s="10" t="s">
        <v>32</v>
      </c>
      <c r="K77" s="12" t="s">
        <v>27</v>
      </c>
      <c r="L77" s="10" t="s">
        <v>186</v>
      </c>
      <c r="O77">
        <v>444</v>
      </c>
      <c r="P77">
        <v>403</v>
      </c>
      <c r="U77" t="s">
        <v>95</v>
      </c>
      <c r="V77">
        <v>2</v>
      </c>
      <c r="X77" s="13" t="s">
        <v>114</v>
      </c>
      <c r="Z77" t="s">
        <v>121</v>
      </c>
      <c r="AA77" s="8" t="s">
        <v>119</v>
      </c>
      <c r="AB77" t="s">
        <v>115</v>
      </c>
      <c r="AC77" s="2" t="s">
        <v>119</v>
      </c>
      <c r="AF77" t="s">
        <v>187</v>
      </c>
    </row>
    <row r="78" spans="1:32" x14ac:dyDescent="0.25">
      <c r="A78" s="10" t="s">
        <v>179</v>
      </c>
      <c r="B78" t="s">
        <v>182</v>
      </c>
      <c r="C78" s="10" t="s">
        <v>185</v>
      </c>
      <c r="D78" s="6">
        <v>45968</v>
      </c>
      <c r="E78" s="5" t="str">
        <f t="shared" si="1"/>
        <v>novembre</v>
      </c>
      <c r="F78" s="10" t="s">
        <v>25</v>
      </c>
      <c r="G78" s="12" t="s">
        <v>30</v>
      </c>
      <c r="H78" s="12" t="s">
        <v>32</v>
      </c>
      <c r="I78" s="10" t="s">
        <v>32</v>
      </c>
      <c r="K78" s="12" t="s">
        <v>27</v>
      </c>
      <c r="L78" s="10" t="s">
        <v>186</v>
      </c>
      <c r="O78">
        <v>610</v>
      </c>
      <c r="P78">
        <v>550</v>
      </c>
      <c r="U78" t="s">
        <v>95</v>
      </c>
      <c r="V78">
        <v>1</v>
      </c>
      <c r="X78" s="13" t="s">
        <v>114</v>
      </c>
      <c r="Z78" t="s">
        <v>121</v>
      </c>
      <c r="AA78" s="8" t="s">
        <v>119</v>
      </c>
      <c r="AB78" t="s">
        <v>115</v>
      </c>
      <c r="AC78" s="2" t="s">
        <v>119</v>
      </c>
      <c r="AF78" t="s">
        <v>187</v>
      </c>
    </row>
    <row r="79" spans="1:32" x14ac:dyDescent="0.25">
      <c r="A79" s="10" t="s">
        <v>188</v>
      </c>
      <c r="B79" t="s">
        <v>110</v>
      </c>
      <c r="C79" s="10" t="s">
        <v>111</v>
      </c>
      <c r="D79" s="6">
        <v>45975</v>
      </c>
      <c r="E79" s="5" t="str">
        <f t="shared" si="1"/>
        <v>novembre</v>
      </c>
      <c r="F79" s="10" t="s">
        <v>25</v>
      </c>
      <c r="G79" s="12" t="s">
        <v>30</v>
      </c>
      <c r="H79" s="12" t="s">
        <v>32</v>
      </c>
      <c r="I79" s="10" t="s">
        <v>32</v>
      </c>
      <c r="K79" s="12" t="s">
        <v>27</v>
      </c>
      <c r="L79" s="10" t="s">
        <v>191</v>
      </c>
      <c r="O79">
        <v>803</v>
      </c>
      <c r="P79">
        <v>730</v>
      </c>
      <c r="U79" t="s">
        <v>95</v>
      </c>
      <c r="V79">
        <v>5</v>
      </c>
      <c r="X79">
        <v>118</v>
      </c>
      <c r="Z79" t="s">
        <v>136</v>
      </c>
      <c r="AA79" s="8" t="s">
        <v>119</v>
      </c>
      <c r="AB79" t="s">
        <v>119</v>
      </c>
      <c r="AC79" s="2" t="s">
        <v>119</v>
      </c>
    </row>
    <row r="80" spans="1:32" x14ac:dyDescent="0.25">
      <c r="A80" s="10" t="s">
        <v>189</v>
      </c>
      <c r="B80" t="s">
        <v>110</v>
      </c>
      <c r="C80" s="10" t="s">
        <v>111</v>
      </c>
      <c r="D80" s="6">
        <v>45975</v>
      </c>
      <c r="E80" s="5" t="str">
        <f t="shared" si="1"/>
        <v>novembre</v>
      </c>
      <c r="F80" s="10" t="s">
        <v>25</v>
      </c>
      <c r="G80" s="12" t="s">
        <v>30</v>
      </c>
      <c r="H80" s="12" t="s">
        <v>32</v>
      </c>
      <c r="I80" s="10" t="s">
        <v>32</v>
      </c>
      <c r="K80" s="12" t="s">
        <v>27</v>
      </c>
      <c r="L80" s="10" t="s">
        <v>191</v>
      </c>
      <c r="O80">
        <v>852</v>
      </c>
      <c r="P80">
        <v>785</v>
      </c>
      <c r="U80" t="s">
        <v>95</v>
      </c>
      <c r="V80">
        <v>5</v>
      </c>
      <c r="X80">
        <v>282</v>
      </c>
      <c r="Z80" t="s">
        <v>136</v>
      </c>
      <c r="AA80" s="8" t="s">
        <v>119</v>
      </c>
      <c r="AB80" t="s">
        <v>119</v>
      </c>
      <c r="AC80" s="2" t="s">
        <v>119</v>
      </c>
    </row>
    <row r="81" spans="1:32" x14ac:dyDescent="0.25">
      <c r="A81" s="10" t="s">
        <v>190</v>
      </c>
      <c r="B81" t="s">
        <v>110</v>
      </c>
      <c r="C81" s="10" t="s">
        <v>111</v>
      </c>
      <c r="D81" s="6">
        <v>45975</v>
      </c>
      <c r="E81" s="5" t="str">
        <f t="shared" si="1"/>
        <v>novembre</v>
      </c>
      <c r="F81" s="10" t="s">
        <v>25</v>
      </c>
      <c r="G81" s="12" t="s">
        <v>30</v>
      </c>
      <c r="H81" s="12" t="s">
        <v>32</v>
      </c>
      <c r="I81" s="10" t="s">
        <v>32</v>
      </c>
      <c r="K81" s="12" t="s">
        <v>27</v>
      </c>
      <c r="L81" s="10" t="s">
        <v>191</v>
      </c>
      <c r="O81">
        <v>920</v>
      </c>
      <c r="P81">
        <v>849</v>
      </c>
      <c r="U81" t="s">
        <v>50</v>
      </c>
      <c r="V81">
        <v>5</v>
      </c>
      <c r="X81">
        <v>368</v>
      </c>
      <c r="Z81" t="s">
        <v>121</v>
      </c>
      <c r="AA81" s="8" t="s">
        <v>119</v>
      </c>
      <c r="AB81" t="s">
        <v>119</v>
      </c>
      <c r="AC81" s="2" t="s">
        <v>119</v>
      </c>
    </row>
    <row r="82" spans="1:32" x14ac:dyDescent="0.25">
      <c r="A82" s="10" t="s">
        <v>192</v>
      </c>
      <c r="B82" t="s">
        <v>110</v>
      </c>
      <c r="C82" s="10" t="s">
        <v>111</v>
      </c>
      <c r="D82" s="6">
        <v>45976</v>
      </c>
      <c r="E82" s="5" t="str">
        <f t="shared" si="1"/>
        <v>novembre</v>
      </c>
      <c r="F82" s="10" t="s">
        <v>25</v>
      </c>
      <c r="G82" s="12" t="s">
        <v>30</v>
      </c>
      <c r="H82" s="12" t="s">
        <v>32</v>
      </c>
      <c r="I82" s="10" t="s">
        <v>32</v>
      </c>
      <c r="K82" s="12" t="s">
        <v>27</v>
      </c>
      <c r="L82" s="10" t="s">
        <v>205</v>
      </c>
      <c r="O82">
        <v>975</v>
      </c>
      <c r="P82">
        <v>860</v>
      </c>
      <c r="U82" t="s">
        <v>95</v>
      </c>
      <c r="V82">
        <v>5</v>
      </c>
      <c r="X82">
        <v>300</v>
      </c>
      <c r="Z82" t="s">
        <v>121</v>
      </c>
      <c r="AA82" s="8" t="s">
        <v>119</v>
      </c>
      <c r="AB82" t="s">
        <v>119</v>
      </c>
      <c r="AC82" s="2" t="s">
        <v>119</v>
      </c>
    </row>
    <row r="83" spans="1:32" x14ac:dyDescent="0.25">
      <c r="A83" s="10" t="s">
        <v>193</v>
      </c>
      <c r="B83" t="s">
        <v>110</v>
      </c>
      <c r="C83" s="10" t="s">
        <v>111</v>
      </c>
      <c r="D83" s="6">
        <v>45976</v>
      </c>
      <c r="E83" s="5" t="str">
        <f t="shared" si="1"/>
        <v>novembre</v>
      </c>
      <c r="F83" s="10" t="s">
        <v>25</v>
      </c>
      <c r="G83" s="12" t="s">
        <v>30</v>
      </c>
      <c r="H83" s="12" t="s">
        <v>32</v>
      </c>
      <c r="I83" s="10" t="s">
        <v>32</v>
      </c>
      <c r="K83" s="12" t="s">
        <v>27</v>
      </c>
      <c r="L83" s="10" t="s">
        <v>205</v>
      </c>
      <c r="O83">
        <v>920</v>
      </c>
      <c r="P83">
        <v>805</v>
      </c>
      <c r="U83" t="s">
        <v>95</v>
      </c>
      <c r="V83">
        <v>5</v>
      </c>
      <c r="X83">
        <v>204</v>
      </c>
      <c r="Z83" t="s">
        <v>118</v>
      </c>
      <c r="AA83" s="8" t="s">
        <v>119</v>
      </c>
      <c r="AB83" t="s">
        <v>119</v>
      </c>
      <c r="AC83" s="2" t="s">
        <v>119</v>
      </c>
    </row>
    <row r="84" spans="1:32" x14ac:dyDescent="0.25">
      <c r="A84" s="10" t="s">
        <v>194</v>
      </c>
      <c r="B84" t="s">
        <v>28</v>
      </c>
      <c r="C84" s="10" t="s">
        <v>35</v>
      </c>
      <c r="D84" s="6">
        <v>45976</v>
      </c>
      <c r="E84" s="5" t="str">
        <f t="shared" si="1"/>
        <v>novembre</v>
      </c>
      <c r="F84" s="10" t="s">
        <v>25</v>
      </c>
      <c r="G84" s="12" t="s">
        <v>204</v>
      </c>
      <c r="H84" s="12" t="s">
        <v>32</v>
      </c>
      <c r="I84" s="10" t="s">
        <v>32</v>
      </c>
      <c r="K84" s="12" t="s">
        <v>142</v>
      </c>
      <c r="L84" s="10" t="s">
        <v>206</v>
      </c>
      <c r="O84">
        <v>534</v>
      </c>
      <c r="P84">
        <v>500</v>
      </c>
      <c r="U84" t="s">
        <v>39</v>
      </c>
      <c r="Z84" t="s">
        <v>123</v>
      </c>
      <c r="AA84" s="8" t="s">
        <v>119</v>
      </c>
      <c r="AB84" t="s">
        <v>119</v>
      </c>
      <c r="AC84" s="2" t="s">
        <v>119</v>
      </c>
    </row>
    <row r="85" spans="1:32" x14ac:dyDescent="0.25">
      <c r="A85" s="10" t="s">
        <v>195</v>
      </c>
      <c r="B85" t="s">
        <v>28</v>
      </c>
      <c r="C85" s="10" t="s">
        <v>35</v>
      </c>
      <c r="D85" s="6">
        <v>45976</v>
      </c>
      <c r="E85" s="5" t="str">
        <f t="shared" si="1"/>
        <v>novembre</v>
      </c>
      <c r="F85" s="10" t="s">
        <v>25</v>
      </c>
      <c r="G85" s="12" t="s">
        <v>204</v>
      </c>
      <c r="H85" s="12" t="s">
        <v>32</v>
      </c>
      <c r="I85" s="10" t="s">
        <v>32</v>
      </c>
      <c r="K85" s="12" t="s">
        <v>142</v>
      </c>
      <c r="L85" s="10" t="s">
        <v>206</v>
      </c>
      <c r="O85">
        <v>583</v>
      </c>
      <c r="P85">
        <v>560</v>
      </c>
      <c r="U85" t="s">
        <v>39</v>
      </c>
      <c r="Z85" t="s">
        <v>122</v>
      </c>
      <c r="AA85" s="8" t="s">
        <v>119</v>
      </c>
      <c r="AB85" t="s">
        <v>119</v>
      </c>
      <c r="AC85" s="2" t="s">
        <v>119</v>
      </c>
    </row>
    <row r="86" spans="1:32" x14ac:dyDescent="0.25">
      <c r="A86" s="10" t="s">
        <v>196</v>
      </c>
      <c r="B86" t="s">
        <v>110</v>
      </c>
      <c r="C86" s="10" t="s">
        <v>111</v>
      </c>
      <c r="D86" s="6">
        <v>45977</v>
      </c>
      <c r="E86" s="5" t="str">
        <f t="shared" si="1"/>
        <v>novembre</v>
      </c>
      <c r="F86" s="10" t="s">
        <v>25</v>
      </c>
      <c r="G86" s="15" t="s">
        <v>30</v>
      </c>
      <c r="H86" s="12" t="s">
        <v>32</v>
      </c>
      <c r="I86" s="10" t="s">
        <v>32</v>
      </c>
      <c r="K86" s="12" t="s">
        <v>27</v>
      </c>
      <c r="L86" s="10" t="s">
        <v>207</v>
      </c>
      <c r="P86">
        <v>870</v>
      </c>
      <c r="U86" t="s">
        <v>95</v>
      </c>
      <c r="V86">
        <v>5</v>
      </c>
      <c r="X86">
        <v>358</v>
      </c>
      <c r="Z86" t="s">
        <v>121</v>
      </c>
      <c r="AA86" s="8" t="s">
        <v>119</v>
      </c>
      <c r="AB86" t="s">
        <v>119</v>
      </c>
      <c r="AC86" s="2" t="s">
        <v>119</v>
      </c>
    </row>
    <row r="87" spans="1:32" x14ac:dyDescent="0.25">
      <c r="A87" s="10" t="s">
        <v>197</v>
      </c>
      <c r="B87" t="s">
        <v>110</v>
      </c>
      <c r="C87" s="10" t="s">
        <v>111</v>
      </c>
      <c r="D87" s="6">
        <v>45977</v>
      </c>
      <c r="E87" s="5" t="str">
        <f t="shared" si="1"/>
        <v>novembre</v>
      </c>
      <c r="F87" s="10" t="s">
        <v>25</v>
      </c>
      <c r="G87" s="15" t="s">
        <v>30</v>
      </c>
      <c r="H87" s="12" t="s">
        <v>32</v>
      </c>
      <c r="I87" s="10" t="s">
        <v>32</v>
      </c>
      <c r="K87" s="12" t="s">
        <v>27</v>
      </c>
      <c r="L87" s="10" t="s">
        <v>207</v>
      </c>
      <c r="P87">
        <v>950</v>
      </c>
      <c r="U87" t="s">
        <v>50</v>
      </c>
      <c r="V87">
        <v>5</v>
      </c>
      <c r="X87">
        <v>562</v>
      </c>
      <c r="Z87" t="s">
        <v>121</v>
      </c>
      <c r="AA87" s="8" t="s">
        <v>119</v>
      </c>
      <c r="AB87" t="s">
        <v>119</v>
      </c>
      <c r="AC87" s="2" t="s">
        <v>119</v>
      </c>
    </row>
    <row r="88" spans="1:32" x14ac:dyDescent="0.25">
      <c r="A88" s="10" t="s">
        <v>198</v>
      </c>
      <c r="B88" t="s">
        <v>110</v>
      </c>
      <c r="C88" s="10" t="s">
        <v>111</v>
      </c>
      <c r="D88" s="6">
        <v>45977</v>
      </c>
      <c r="E88" s="5" t="str">
        <f t="shared" si="1"/>
        <v>novembre</v>
      </c>
      <c r="F88" s="10" t="s">
        <v>25</v>
      </c>
      <c r="G88" s="15" t="s">
        <v>30</v>
      </c>
      <c r="H88" s="12" t="s">
        <v>32</v>
      </c>
      <c r="I88" s="10" t="s">
        <v>32</v>
      </c>
      <c r="K88" s="12" t="s">
        <v>27</v>
      </c>
      <c r="L88" s="10" t="s">
        <v>207</v>
      </c>
      <c r="P88">
        <v>1010</v>
      </c>
      <c r="U88" t="s">
        <v>39</v>
      </c>
      <c r="Z88" t="s">
        <v>122</v>
      </c>
      <c r="AA88" s="8" t="s">
        <v>119</v>
      </c>
      <c r="AB88" t="s">
        <v>119</v>
      </c>
      <c r="AC88" s="2" t="s">
        <v>119</v>
      </c>
    </row>
    <row r="89" spans="1:32" x14ac:dyDescent="0.25">
      <c r="A89" s="10" t="s">
        <v>199</v>
      </c>
      <c r="B89" t="s">
        <v>105</v>
      </c>
      <c r="C89" s="10" t="s">
        <v>106</v>
      </c>
      <c r="D89" s="6">
        <v>45977</v>
      </c>
      <c r="E89" s="5" t="str">
        <f t="shared" si="1"/>
        <v>novembre</v>
      </c>
      <c r="F89" s="10" t="s">
        <v>25</v>
      </c>
      <c r="G89" s="12" t="s">
        <v>204</v>
      </c>
      <c r="H89" s="12" t="s">
        <v>32</v>
      </c>
      <c r="I89" s="10" t="s">
        <v>32</v>
      </c>
      <c r="K89" s="12" t="s">
        <v>142</v>
      </c>
      <c r="L89" s="10" t="s">
        <v>206</v>
      </c>
      <c r="O89">
        <v>468</v>
      </c>
      <c r="P89">
        <v>452</v>
      </c>
      <c r="U89" t="s">
        <v>95</v>
      </c>
      <c r="V89">
        <v>3</v>
      </c>
      <c r="X89">
        <v>3</v>
      </c>
      <c r="Z89">
        <v>0</v>
      </c>
      <c r="AA89" s="8" t="s">
        <v>119</v>
      </c>
      <c r="AB89" t="s">
        <v>119</v>
      </c>
      <c r="AC89" s="2" t="s">
        <v>119</v>
      </c>
    </row>
    <row r="90" spans="1:32" x14ac:dyDescent="0.25">
      <c r="A90" s="10" t="s">
        <v>200</v>
      </c>
      <c r="B90" t="s">
        <v>28</v>
      </c>
      <c r="C90" s="10" t="s">
        <v>35</v>
      </c>
      <c r="D90" s="6">
        <v>45977</v>
      </c>
      <c r="E90" s="5" t="str">
        <f t="shared" si="1"/>
        <v>novembre</v>
      </c>
      <c r="F90" s="10" t="s">
        <v>25</v>
      </c>
      <c r="G90" s="12" t="s">
        <v>204</v>
      </c>
      <c r="H90" s="12" t="s">
        <v>32</v>
      </c>
      <c r="I90" s="10" t="s">
        <v>32</v>
      </c>
      <c r="K90" s="12" t="s">
        <v>142</v>
      </c>
      <c r="L90" s="10" t="s">
        <v>206</v>
      </c>
      <c r="O90">
        <v>500</v>
      </c>
      <c r="P90">
        <v>475</v>
      </c>
      <c r="U90" t="s">
        <v>50</v>
      </c>
      <c r="V90">
        <v>5</v>
      </c>
      <c r="X90">
        <v>48</v>
      </c>
      <c r="Z90">
        <v>0</v>
      </c>
      <c r="AA90" s="8" t="s">
        <v>119</v>
      </c>
      <c r="AB90" t="s">
        <v>119</v>
      </c>
      <c r="AC90" s="2" t="s">
        <v>119</v>
      </c>
    </row>
    <row r="91" spans="1:32" x14ac:dyDescent="0.25">
      <c r="A91" s="10" t="s">
        <v>201</v>
      </c>
      <c r="B91" t="s">
        <v>28</v>
      </c>
      <c r="C91" s="10" t="s">
        <v>35</v>
      </c>
      <c r="D91" s="6">
        <v>45977</v>
      </c>
      <c r="E91" s="5" t="str">
        <f t="shared" si="1"/>
        <v>novembre</v>
      </c>
      <c r="F91" s="10" t="s">
        <v>25</v>
      </c>
      <c r="G91" s="12" t="s">
        <v>204</v>
      </c>
      <c r="H91" s="12" t="s">
        <v>32</v>
      </c>
      <c r="I91" s="10" t="s">
        <v>32</v>
      </c>
      <c r="K91" s="12" t="s">
        <v>142</v>
      </c>
      <c r="L91" s="10" t="s">
        <v>206</v>
      </c>
      <c r="O91">
        <v>454</v>
      </c>
      <c r="P91">
        <v>429</v>
      </c>
      <c r="U91" t="s">
        <v>50</v>
      </c>
      <c r="V91">
        <v>4</v>
      </c>
      <c r="X91">
        <v>2</v>
      </c>
      <c r="Z91" t="s">
        <v>122</v>
      </c>
      <c r="AA91" s="8" t="s">
        <v>119</v>
      </c>
      <c r="AB91" t="s">
        <v>119</v>
      </c>
      <c r="AC91" s="2" t="s">
        <v>119</v>
      </c>
    </row>
    <row r="92" spans="1:32" x14ac:dyDescent="0.25">
      <c r="A92" s="10" t="s">
        <v>202</v>
      </c>
      <c r="B92" t="s">
        <v>28</v>
      </c>
      <c r="C92" s="10" t="s">
        <v>35</v>
      </c>
      <c r="D92" s="6">
        <v>45977</v>
      </c>
      <c r="E92" s="5" t="str">
        <f t="shared" si="1"/>
        <v>novembre</v>
      </c>
      <c r="F92" s="10" t="s">
        <v>25</v>
      </c>
      <c r="G92" s="12" t="s">
        <v>204</v>
      </c>
      <c r="H92" s="12" t="s">
        <v>32</v>
      </c>
      <c r="I92" s="10" t="s">
        <v>32</v>
      </c>
      <c r="K92" s="12" t="s">
        <v>142</v>
      </c>
      <c r="L92" s="10" t="s">
        <v>206</v>
      </c>
      <c r="O92">
        <v>426</v>
      </c>
      <c r="P92">
        <v>403</v>
      </c>
      <c r="U92" t="s">
        <v>50</v>
      </c>
      <c r="V92">
        <v>5</v>
      </c>
      <c r="X92">
        <v>20</v>
      </c>
      <c r="Z92" t="s">
        <v>122</v>
      </c>
      <c r="AA92" s="8" t="s">
        <v>119</v>
      </c>
      <c r="AB92" t="s">
        <v>119</v>
      </c>
      <c r="AC92" s="2" t="s">
        <v>119</v>
      </c>
    </row>
    <row r="93" spans="1:32" x14ac:dyDescent="0.25">
      <c r="A93" s="16" t="s">
        <v>203</v>
      </c>
      <c r="B93" s="17" t="s">
        <v>28</v>
      </c>
      <c r="C93" s="16" t="s">
        <v>35</v>
      </c>
      <c r="D93" s="18">
        <v>45977</v>
      </c>
      <c r="E93" s="5" t="str">
        <f t="shared" si="1"/>
        <v>novembre</v>
      </c>
      <c r="F93" s="21" t="s">
        <v>25</v>
      </c>
      <c r="G93" s="19" t="s">
        <v>204</v>
      </c>
      <c r="H93" s="19" t="s">
        <v>32</v>
      </c>
      <c r="I93" s="16" t="s">
        <v>32</v>
      </c>
      <c r="J93" s="17"/>
      <c r="K93" s="19" t="s">
        <v>142</v>
      </c>
      <c r="L93" s="16" t="s">
        <v>206</v>
      </c>
      <c r="M93" s="17"/>
      <c r="N93" s="17"/>
      <c r="O93" s="17">
        <v>423</v>
      </c>
      <c r="P93" s="17">
        <v>400</v>
      </c>
      <c r="Q93" s="17"/>
      <c r="R93" s="17"/>
      <c r="S93" s="17"/>
      <c r="T93" s="17"/>
      <c r="U93" s="17" t="s">
        <v>50</v>
      </c>
      <c r="V93" s="17">
        <v>5</v>
      </c>
      <c r="W93" s="17"/>
      <c r="X93" s="17">
        <v>28</v>
      </c>
      <c r="Y93" s="17"/>
      <c r="Z93" s="17" t="s">
        <v>136</v>
      </c>
      <c r="AA93" s="20" t="s">
        <v>119</v>
      </c>
      <c r="AB93" s="17" t="s">
        <v>119</v>
      </c>
      <c r="AC93" s="2" t="s">
        <v>119</v>
      </c>
      <c r="AD93" s="17"/>
      <c r="AE93" s="17"/>
      <c r="AF93" s="17"/>
    </row>
    <row r="94" spans="1:32" x14ac:dyDescent="0.25">
      <c r="A94" s="10" t="s">
        <v>208</v>
      </c>
      <c r="B94" t="s">
        <v>209</v>
      </c>
      <c r="C94" s="10" t="s">
        <v>35</v>
      </c>
      <c r="D94" s="6">
        <v>45988</v>
      </c>
      <c r="E94" s="5" t="str">
        <f t="shared" si="1"/>
        <v>novembre</v>
      </c>
      <c r="F94" s="10" t="s">
        <v>25</v>
      </c>
      <c r="G94" s="12" t="s">
        <v>30</v>
      </c>
      <c r="H94" s="12" t="s">
        <v>32</v>
      </c>
      <c r="I94" s="10" t="s">
        <v>32</v>
      </c>
      <c r="K94" s="12" t="s">
        <v>142</v>
      </c>
      <c r="L94" s="10" t="s">
        <v>235</v>
      </c>
      <c r="O94">
        <v>471</v>
      </c>
      <c r="P94">
        <v>450</v>
      </c>
      <c r="T94">
        <v>1228</v>
      </c>
      <c r="U94" t="s">
        <v>50</v>
      </c>
      <c r="V94">
        <v>4</v>
      </c>
      <c r="X94">
        <v>30</v>
      </c>
      <c r="Z94" t="s">
        <v>136</v>
      </c>
      <c r="AA94" s="8" t="s">
        <v>119</v>
      </c>
      <c r="AB94" t="s">
        <v>115</v>
      </c>
      <c r="AC94" s="8" t="s">
        <v>119</v>
      </c>
    </row>
    <row r="95" spans="1:32" x14ac:dyDescent="0.25">
      <c r="A95" s="10" t="s">
        <v>210</v>
      </c>
      <c r="B95" t="s">
        <v>223</v>
      </c>
      <c r="C95" s="10" t="s">
        <v>157</v>
      </c>
      <c r="D95" s="6">
        <v>45988</v>
      </c>
      <c r="E95" s="5" t="str">
        <f t="shared" si="1"/>
        <v>novembre</v>
      </c>
      <c r="F95" s="10" t="s">
        <v>25</v>
      </c>
      <c r="G95" s="12" t="s">
        <v>30</v>
      </c>
      <c r="H95" s="12" t="s">
        <v>32</v>
      </c>
      <c r="I95" s="10" t="s">
        <v>32</v>
      </c>
      <c r="K95" s="12" t="s">
        <v>27</v>
      </c>
      <c r="L95" s="10" t="s">
        <v>235</v>
      </c>
      <c r="O95">
        <v>434</v>
      </c>
      <c r="P95">
        <v>400</v>
      </c>
      <c r="T95">
        <v>1330</v>
      </c>
      <c r="U95" t="s">
        <v>50</v>
      </c>
      <c r="V95">
        <v>4</v>
      </c>
      <c r="X95">
        <v>38</v>
      </c>
      <c r="Z95" t="s">
        <v>121</v>
      </c>
      <c r="AA95" s="8" t="s">
        <v>119</v>
      </c>
      <c r="AB95" t="s">
        <v>115</v>
      </c>
      <c r="AC95" s="8" t="s">
        <v>119</v>
      </c>
    </row>
    <row r="96" spans="1:32" x14ac:dyDescent="0.25">
      <c r="A96" s="10" t="s">
        <v>211</v>
      </c>
      <c r="B96" t="s">
        <v>224</v>
      </c>
      <c r="C96" s="10" t="s">
        <v>230</v>
      </c>
      <c r="D96" s="6">
        <v>45988</v>
      </c>
      <c r="E96" s="5" t="str">
        <f t="shared" si="1"/>
        <v>novembre</v>
      </c>
      <c r="F96" s="10" t="s">
        <v>25</v>
      </c>
      <c r="G96" s="12" t="s">
        <v>30</v>
      </c>
      <c r="H96" s="12" t="s">
        <v>32</v>
      </c>
      <c r="I96" s="10" t="s">
        <v>32</v>
      </c>
      <c r="K96" s="12" t="s">
        <v>27</v>
      </c>
      <c r="L96" s="10" t="s">
        <v>235</v>
      </c>
      <c r="O96">
        <v>295</v>
      </c>
      <c r="P96">
        <v>295</v>
      </c>
      <c r="T96">
        <v>410</v>
      </c>
      <c r="U96" t="s">
        <v>50</v>
      </c>
      <c r="V96">
        <v>4</v>
      </c>
      <c r="X96">
        <v>30</v>
      </c>
      <c r="Z96" t="s">
        <v>118</v>
      </c>
      <c r="AA96" s="8" t="s">
        <v>119</v>
      </c>
      <c r="AB96" t="s">
        <v>115</v>
      </c>
      <c r="AC96" s="8" t="s">
        <v>119</v>
      </c>
    </row>
    <row r="97" spans="1:29" x14ac:dyDescent="0.25">
      <c r="A97" s="10" t="s">
        <v>212</v>
      </c>
      <c r="B97" t="s">
        <v>224</v>
      </c>
      <c r="C97" s="10" t="s">
        <v>230</v>
      </c>
      <c r="D97" s="6">
        <v>45988</v>
      </c>
      <c r="E97" s="5" t="str">
        <f t="shared" si="1"/>
        <v>novembre</v>
      </c>
      <c r="F97" s="10" t="s">
        <v>25</v>
      </c>
      <c r="G97" s="12" t="s">
        <v>30</v>
      </c>
      <c r="H97" s="12" t="s">
        <v>32</v>
      </c>
      <c r="I97" s="10" t="s">
        <v>32</v>
      </c>
      <c r="K97" s="12" t="s">
        <v>27</v>
      </c>
      <c r="L97" s="10" t="s">
        <v>235</v>
      </c>
      <c r="O97">
        <v>264</v>
      </c>
      <c r="P97">
        <v>264</v>
      </c>
      <c r="T97">
        <v>260</v>
      </c>
      <c r="U97" t="s">
        <v>50</v>
      </c>
      <c r="V97">
        <v>3</v>
      </c>
      <c r="X97" t="s">
        <v>236</v>
      </c>
      <c r="Z97" t="s">
        <v>118</v>
      </c>
      <c r="AA97" s="8" t="s">
        <v>119</v>
      </c>
      <c r="AB97" t="s">
        <v>115</v>
      </c>
      <c r="AC97" s="8" t="s">
        <v>115</v>
      </c>
    </row>
    <row r="98" spans="1:29" x14ac:dyDescent="0.25">
      <c r="A98" s="10" t="s">
        <v>213</v>
      </c>
      <c r="B98" t="s">
        <v>224</v>
      </c>
      <c r="C98" s="10" t="s">
        <v>230</v>
      </c>
      <c r="D98" s="6">
        <v>45988</v>
      </c>
      <c r="E98" s="5" t="str">
        <f t="shared" si="1"/>
        <v>novembre</v>
      </c>
      <c r="F98" s="10" t="s">
        <v>25</v>
      </c>
      <c r="G98" s="12" t="s">
        <v>30</v>
      </c>
      <c r="H98" s="12" t="s">
        <v>32</v>
      </c>
      <c r="I98" s="10" t="s">
        <v>32</v>
      </c>
      <c r="K98" s="12" t="s">
        <v>27</v>
      </c>
      <c r="L98" s="10" t="s">
        <v>235</v>
      </c>
      <c r="O98">
        <v>326</v>
      </c>
      <c r="P98">
        <v>326</v>
      </c>
      <c r="T98">
        <v>530</v>
      </c>
      <c r="U98" t="s">
        <v>50</v>
      </c>
      <c r="V98">
        <v>4</v>
      </c>
      <c r="X98" t="s">
        <v>237</v>
      </c>
      <c r="Z98" t="s">
        <v>136</v>
      </c>
      <c r="AA98" s="8" t="s">
        <v>119</v>
      </c>
      <c r="AB98" t="s">
        <v>115</v>
      </c>
      <c r="AC98" s="8" t="s">
        <v>115</v>
      </c>
    </row>
    <row r="99" spans="1:29" x14ac:dyDescent="0.25">
      <c r="A99" s="10" t="s">
        <v>214</v>
      </c>
      <c r="B99" t="s">
        <v>224</v>
      </c>
      <c r="C99" s="10" t="s">
        <v>230</v>
      </c>
      <c r="D99" s="6">
        <v>45988</v>
      </c>
      <c r="E99" s="5" t="str">
        <f t="shared" si="1"/>
        <v>novembre</v>
      </c>
      <c r="F99" s="10" t="s">
        <v>25</v>
      </c>
      <c r="G99" s="12" t="s">
        <v>30</v>
      </c>
      <c r="H99" s="12" t="s">
        <v>32</v>
      </c>
      <c r="I99" s="10" t="s">
        <v>32</v>
      </c>
      <c r="K99" s="12" t="s">
        <v>27</v>
      </c>
      <c r="L99" s="10" t="s">
        <v>235</v>
      </c>
      <c r="O99">
        <v>282</v>
      </c>
      <c r="P99">
        <v>282</v>
      </c>
      <c r="T99">
        <v>336</v>
      </c>
      <c r="U99" t="s">
        <v>50</v>
      </c>
      <c r="V99">
        <v>4</v>
      </c>
      <c r="X99" t="s">
        <v>238</v>
      </c>
      <c r="Z99" t="s">
        <v>121</v>
      </c>
      <c r="AA99" s="8" t="s">
        <v>119</v>
      </c>
      <c r="AB99" t="s">
        <v>115</v>
      </c>
      <c r="AC99" s="8" t="s">
        <v>115</v>
      </c>
    </row>
    <row r="100" spans="1:29" x14ac:dyDescent="0.25">
      <c r="A100" s="10" t="s">
        <v>215</v>
      </c>
      <c r="B100" t="s">
        <v>225</v>
      </c>
      <c r="C100" s="10" t="s">
        <v>87</v>
      </c>
      <c r="D100" s="6">
        <v>45988</v>
      </c>
      <c r="E100" s="5" t="str">
        <f t="shared" si="1"/>
        <v>novembre</v>
      </c>
      <c r="F100" s="10" t="s">
        <v>25</v>
      </c>
      <c r="G100" s="12" t="s">
        <v>30</v>
      </c>
      <c r="H100" s="12" t="s">
        <v>32</v>
      </c>
      <c r="I100" s="10" t="s">
        <v>32</v>
      </c>
      <c r="K100" s="12" t="s">
        <v>142</v>
      </c>
      <c r="L100" s="10" t="s">
        <v>235</v>
      </c>
      <c r="O100">
        <v>472</v>
      </c>
      <c r="P100">
        <v>429</v>
      </c>
      <c r="T100">
        <v>1566</v>
      </c>
      <c r="U100" t="s">
        <v>95</v>
      </c>
      <c r="V100">
        <v>4</v>
      </c>
      <c r="X100">
        <v>60</v>
      </c>
      <c r="Z100" t="s">
        <v>121</v>
      </c>
      <c r="AA100" s="8" t="s">
        <v>119</v>
      </c>
      <c r="AB100" t="s">
        <v>115</v>
      </c>
      <c r="AC100" s="8" t="s">
        <v>119</v>
      </c>
    </row>
    <row r="101" spans="1:29" x14ac:dyDescent="0.25">
      <c r="A101" s="10" t="s">
        <v>216</v>
      </c>
      <c r="B101" t="s">
        <v>225</v>
      </c>
      <c r="C101" s="10" t="s">
        <v>87</v>
      </c>
      <c r="D101" s="6">
        <v>45988</v>
      </c>
      <c r="E101" s="5" t="str">
        <f t="shared" si="1"/>
        <v>novembre</v>
      </c>
      <c r="F101" s="10" t="s">
        <v>25</v>
      </c>
      <c r="G101" s="12" t="s">
        <v>30</v>
      </c>
      <c r="H101" s="12" t="s">
        <v>32</v>
      </c>
      <c r="I101" s="10" t="s">
        <v>32</v>
      </c>
      <c r="K101" s="12" t="s">
        <v>142</v>
      </c>
      <c r="L101" s="10" t="s">
        <v>235</v>
      </c>
      <c r="O101">
        <v>445</v>
      </c>
      <c r="P101">
        <v>410</v>
      </c>
      <c r="T101">
        <v>1370</v>
      </c>
      <c r="U101" t="s">
        <v>95</v>
      </c>
      <c r="V101">
        <v>4</v>
      </c>
      <c r="X101">
        <v>122</v>
      </c>
      <c r="Z101">
        <v>0</v>
      </c>
      <c r="AA101" s="8" t="s">
        <v>119</v>
      </c>
      <c r="AB101" t="s">
        <v>115</v>
      </c>
      <c r="AC101" s="8" t="s">
        <v>119</v>
      </c>
    </row>
    <row r="102" spans="1:29" x14ac:dyDescent="0.25">
      <c r="A102" s="10" t="s">
        <v>217</v>
      </c>
      <c r="B102" t="s">
        <v>226</v>
      </c>
      <c r="C102" s="10" t="s">
        <v>231</v>
      </c>
      <c r="D102" s="6">
        <v>45988</v>
      </c>
      <c r="E102" s="5" t="str">
        <f t="shared" si="1"/>
        <v>novembre</v>
      </c>
      <c r="F102" s="10" t="s">
        <v>25</v>
      </c>
      <c r="G102" s="12" t="s">
        <v>30</v>
      </c>
      <c r="H102" s="12" t="s">
        <v>32</v>
      </c>
      <c r="I102" s="10" t="s">
        <v>32</v>
      </c>
      <c r="K102" s="12" t="s">
        <v>27</v>
      </c>
      <c r="L102" s="10" t="s">
        <v>235</v>
      </c>
      <c r="O102">
        <v>268</v>
      </c>
      <c r="P102">
        <v>240</v>
      </c>
      <c r="T102">
        <v>240</v>
      </c>
      <c r="U102" t="s">
        <v>50</v>
      </c>
      <c r="V102">
        <v>2</v>
      </c>
      <c r="Z102" t="s">
        <v>121</v>
      </c>
      <c r="AA102" s="8" t="s">
        <v>119</v>
      </c>
      <c r="AB102" t="s">
        <v>115</v>
      </c>
      <c r="AC102" s="8" t="s">
        <v>115</v>
      </c>
    </row>
    <row r="103" spans="1:29" x14ac:dyDescent="0.25">
      <c r="A103" s="10" t="s">
        <v>218</v>
      </c>
      <c r="B103" t="s">
        <v>226</v>
      </c>
      <c r="C103" s="10" t="s">
        <v>231</v>
      </c>
      <c r="D103" s="6">
        <v>45988</v>
      </c>
      <c r="E103" s="5" t="str">
        <f t="shared" si="1"/>
        <v>novembre</v>
      </c>
      <c r="F103" s="10" t="s">
        <v>25</v>
      </c>
      <c r="G103" s="12" t="s">
        <v>30</v>
      </c>
      <c r="H103" s="12" t="s">
        <v>32</v>
      </c>
      <c r="I103" s="10" t="s">
        <v>32</v>
      </c>
      <c r="K103" s="12" t="s">
        <v>27</v>
      </c>
      <c r="L103" s="10" t="s">
        <v>235</v>
      </c>
      <c r="O103">
        <v>259</v>
      </c>
      <c r="P103">
        <v>228</v>
      </c>
      <c r="T103">
        <v>224</v>
      </c>
      <c r="U103" t="s">
        <v>50</v>
      </c>
      <c r="V103">
        <v>2</v>
      </c>
      <c r="X103" t="s">
        <v>239</v>
      </c>
      <c r="Z103" t="s">
        <v>136</v>
      </c>
      <c r="AA103" s="8" t="s">
        <v>119</v>
      </c>
      <c r="AB103" t="s">
        <v>115</v>
      </c>
      <c r="AC103" s="8" t="s">
        <v>115</v>
      </c>
    </row>
    <row r="104" spans="1:29" x14ac:dyDescent="0.25">
      <c r="A104" s="10" t="s">
        <v>219</v>
      </c>
      <c r="B104" t="s">
        <v>226</v>
      </c>
      <c r="C104" s="10" t="s">
        <v>231</v>
      </c>
      <c r="D104" s="6">
        <v>45988</v>
      </c>
      <c r="E104" s="5" t="str">
        <f t="shared" si="1"/>
        <v>novembre</v>
      </c>
      <c r="F104" s="10" t="s">
        <v>25</v>
      </c>
      <c r="G104" s="12" t="s">
        <v>30</v>
      </c>
      <c r="H104" s="12" t="s">
        <v>32</v>
      </c>
      <c r="I104" s="10" t="s">
        <v>32</v>
      </c>
      <c r="K104" s="12" t="s">
        <v>27</v>
      </c>
      <c r="L104" s="10" t="s">
        <v>235</v>
      </c>
      <c r="O104">
        <v>257</v>
      </c>
      <c r="P104">
        <v>229</v>
      </c>
      <c r="T104">
        <v>210</v>
      </c>
      <c r="U104" t="s">
        <v>50</v>
      </c>
      <c r="V104">
        <v>2</v>
      </c>
      <c r="X104" t="s">
        <v>240</v>
      </c>
      <c r="Z104" t="s">
        <v>121</v>
      </c>
      <c r="AA104" s="8" t="s">
        <v>119</v>
      </c>
      <c r="AB104" t="s">
        <v>115</v>
      </c>
      <c r="AC104" s="8" t="s">
        <v>115</v>
      </c>
    </row>
    <row r="105" spans="1:29" x14ac:dyDescent="0.25">
      <c r="A105" s="10" t="s">
        <v>220</v>
      </c>
      <c r="B105" t="s">
        <v>227</v>
      </c>
      <c r="C105" s="10" t="s">
        <v>232</v>
      </c>
      <c r="D105" s="6">
        <v>45988</v>
      </c>
      <c r="E105" s="5" t="str">
        <f t="shared" si="1"/>
        <v>novembre</v>
      </c>
      <c r="F105" s="10" t="s">
        <v>25</v>
      </c>
      <c r="G105" s="12" t="s">
        <v>30</v>
      </c>
      <c r="H105" s="12" t="s">
        <v>32</v>
      </c>
      <c r="I105" s="10" t="s">
        <v>32</v>
      </c>
      <c r="K105" s="12" t="s">
        <v>27</v>
      </c>
      <c r="L105" s="10" t="s">
        <v>235</v>
      </c>
      <c r="O105">
        <v>236</v>
      </c>
      <c r="P105">
        <v>236</v>
      </c>
      <c r="T105">
        <v>186</v>
      </c>
      <c r="U105" t="s">
        <v>50</v>
      </c>
      <c r="V105">
        <v>4</v>
      </c>
      <c r="X105" t="s">
        <v>241</v>
      </c>
      <c r="Z105" t="s">
        <v>136</v>
      </c>
      <c r="AA105" s="8" t="s">
        <v>119</v>
      </c>
      <c r="AB105" t="s">
        <v>115</v>
      </c>
      <c r="AC105" s="8" t="s">
        <v>115</v>
      </c>
    </row>
    <row r="106" spans="1:29" x14ac:dyDescent="0.25">
      <c r="A106" s="10" t="s">
        <v>221</v>
      </c>
      <c r="B106" t="s">
        <v>228</v>
      </c>
      <c r="C106" s="10" t="s">
        <v>233</v>
      </c>
      <c r="D106" s="6">
        <v>45988</v>
      </c>
      <c r="E106" s="5" t="str">
        <f t="shared" si="1"/>
        <v>novembre</v>
      </c>
      <c r="F106" s="10" t="s">
        <v>25</v>
      </c>
      <c r="G106" s="12" t="s">
        <v>30</v>
      </c>
      <c r="H106" s="12" t="s">
        <v>32</v>
      </c>
      <c r="I106" s="10" t="s">
        <v>32</v>
      </c>
      <c r="K106" s="12" t="s">
        <v>27</v>
      </c>
      <c r="L106" s="10" t="s">
        <v>235</v>
      </c>
      <c r="O106">
        <v>189</v>
      </c>
      <c r="P106">
        <v>189</v>
      </c>
      <c r="T106">
        <v>98</v>
      </c>
      <c r="U106" t="s">
        <v>50</v>
      </c>
      <c r="V106">
        <v>4</v>
      </c>
      <c r="X106" t="s">
        <v>242</v>
      </c>
      <c r="Z106" t="s">
        <v>136</v>
      </c>
      <c r="AA106" s="8" t="s">
        <v>119</v>
      </c>
      <c r="AB106" t="s">
        <v>115</v>
      </c>
      <c r="AC106" s="8" t="s">
        <v>115</v>
      </c>
    </row>
    <row r="107" spans="1:29" x14ac:dyDescent="0.25">
      <c r="A107" s="10" t="s">
        <v>222</v>
      </c>
      <c r="B107" t="s">
        <v>229</v>
      </c>
      <c r="C107" s="10" t="s">
        <v>234</v>
      </c>
      <c r="D107" s="6">
        <v>45988</v>
      </c>
      <c r="E107" s="5" t="str">
        <f t="shared" si="1"/>
        <v>novembre</v>
      </c>
      <c r="F107" s="10" t="s">
        <v>25</v>
      </c>
      <c r="G107" s="12" t="s">
        <v>30</v>
      </c>
      <c r="H107" s="12" t="s">
        <v>32</v>
      </c>
      <c r="I107" s="10" t="s">
        <v>32</v>
      </c>
      <c r="K107" s="12" t="s">
        <v>142</v>
      </c>
      <c r="L107" s="10" t="s">
        <v>235</v>
      </c>
      <c r="O107">
        <v>472</v>
      </c>
      <c r="P107">
        <v>446</v>
      </c>
      <c r="T107">
        <v>1290</v>
      </c>
      <c r="U107" t="s">
        <v>50</v>
      </c>
      <c r="V107">
        <v>5</v>
      </c>
      <c r="X107" t="s">
        <v>243</v>
      </c>
      <c r="Z107" t="s">
        <v>121</v>
      </c>
      <c r="AA107" s="8" t="s">
        <v>119</v>
      </c>
      <c r="AB107" t="s">
        <v>115</v>
      </c>
      <c r="AC107" s="8" t="s">
        <v>119</v>
      </c>
    </row>
    <row r="108" spans="1:29" x14ac:dyDescent="0.25">
      <c r="A108" s="10" t="s">
        <v>145</v>
      </c>
      <c r="B108" t="s">
        <v>99</v>
      </c>
      <c r="C108" s="10" t="s">
        <v>100</v>
      </c>
      <c r="D108" s="6">
        <v>45970</v>
      </c>
      <c r="E108" s="5" t="str">
        <f t="shared" si="1"/>
        <v>novembre</v>
      </c>
      <c r="F108" s="10" t="s">
        <v>25</v>
      </c>
      <c r="G108" s="12" t="s">
        <v>30</v>
      </c>
      <c r="H108" s="12" t="s">
        <v>32</v>
      </c>
      <c r="I108" s="10" t="s">
        <v>32</v>
      </c>
      <c r="K108" s="12" t="s">
        <v>27</v>
      </c>
      <c r="L108" s="10" t="s">
        <v>205</v>
      </c>
      <c r="O108">
        <v>456</v>
      </c>
      <c r="P108">
        <v>422</v>
      </c>
      <c r="T108">
        <v>1552</v>
      </c>
      <c r="U108" t="s">
        <v>50</v>
      </c>
      <c r="V108">
        <v>2</v>
      </c>
      <c r="X108" s="13" t="s">
        <v>114</v>
      </c>
      <c r="Z108" t="s">
        <v>121</v>
      </c>
      <c r="AA108" s="8" t="s">
        <v>119</v>
      </c>
      <c r="AB108" t="s">
        <v>119</v>
      </c>
      <c r="AC108" s="8" t="s">
        <v>119</v>
      </c>
    </row>
    <row r="109" spans="1:29" x14ac:dyDescent="0.25">
      <c r="A109" s="10" t="s">
        <v>245</v>
      </c>
      <c r="B109" t="s">
        <v>99</v>
      </c>
      <c r="C109" s="10" t="s">
        <v>100</v>
      </c>
      <c r="D109" s="6">
        <v>45970</v>
      </c>
      <c r="E109" s="5" t="str">
        <f t="shared" si="1"/>
        <v>novembre</v>
      </c>
      <c r="F109" s="10" t="s">
        <v>25</v>
      </c>
      <c r="G109" s="12" t="s">
        <v>30</v>
      </c>
      <c r="H109" s="12" t="s">
        <v>32</v>
      </c>
      <c r="I109" s="10" t="s">
        <v>32</v>
      </c>
      <c r="K109" s="12" t="s">
        <v>27</v>
      </c>
      <c r="L109" s="10" t="s">
        <v>205</v>
      </c>
      <c r="O109">
        <v>427</v>
      </c>
      <c r="P109">
        <v>390</v>
      </c>
      <c r="T109">
        <v>1246</v>
      </c>
      <c r="U109" t="s">
        <v>50</v>
      </c>
      <c r="V109">
        <v>2</v>
      </c>
      <c r="X109" s="13" t="s">
        <v>114</v>
      </c>
      <c r="Z109" t="s">
        <v>121</v>
      </c>
      <c r="AA109" s="8" t="s">
        <v>119</v>
      </c>
      <c r="AB109" t="s">
        <v>119</v>
      </c>
      <c r="AC109" s="8" t="s">
        <v>119</v>
      </c>
    </row>
    <row r="110" spans="1:29" x14ac:dyDescent="0.25">
      <c r="A110" s="10" t="s">
        <v>246</v>
      </c>
      <c r="B110" t="s">
        <v>99</v>
      </c>
      <c r="C110" s="10" t="s">
        <v>100</v>
      </c>
      <c r="D110" s="6">
        <v>45970</v>
      </c>
      <c r="E110" s="5" t="str">
        <f t="shared" si="1"/>
        <v>novembre</v>
      </c>
      <c r="F110" s="10" t="s">
        <v>25</v>
      </c>
      <c r="G110" s="12" t="s">
        <v>30</v>
      </c>
      <c r="H110" s="12" t="s">
        <v>32</v>
      </c>
      <c r="I110" s="10" t="s">
        <v>32</v>
      </c>
      <c r="K110" s="12" t="s">
        <v>27</v>
      </c>
      <c r="L110" s="10" t="s">
        <v>205</v>
      </c>
      <c r="O110">
        <v>374</v>
      </c>
      <c r="P110">
        <v>338</v>
      </c>
      <c r="T110">
        <v>704</v>
      </c>
      <c r="U110" t="s">
        <v>50</v>
      </c>
      <c r="V110">
        <v>2</v>
      </c>
      <c r="X110" s="13" t="s">
        <v>114</v>
      </c>
      <c r="Z110" t="s">
        <v>122</v>
      </c>
      <c r="AA110" s="8" t="s">
        <v>119</v>
      </c>
      <c r="AB110" t="s">
        <v>119</v>
      </c>
      <c r="AC110" s="8" t="s">
        <v>119</v>
      </c>
    </row>
    <row r="111" spans="1:29" x14ac:dyDescent="0.25">
      <c r="A111" s="10" t="s">
        <v>247</v>
      </c>
      <c r="B111" t="s">
        <v>99</v>
      </c>
      <c r="C111" s="10" t="s">
        <v>100</v>
      </c>
      <c r="D111" s="6">
        <v>45970</v>
      </c>
      <c r="E111" s="5" t="str">
        <f t="shared" si="1"/>
        <v>novembre</v>
      </c>
      <c r="F111" s="10" t="s">
        <v>25</v>
      </c>
      <c r="G111" s="12" t="s">
        <v>30</v>
      </c>
      <c r="H111" s="12" t="s">
        <v>32</v>
      </c>
      <c r="I111" s="10" t="s">
        <v>32</v>
      </c>
      <c r="K111" s="12" t="s">
        <v>27</v>
      </c>
      <c r="L111" s="10" t="s">
        <v>205</v>
      </c>
      <c r="O111">
        <v>425</v>
      </c>
      <c r="P111">
        <v>390</v>
      </c>
      <c r="T111">
        <v>1136</v>
      </c>
      <c r="U111" t="s">
        <v>50</v>
      </c>
      <c r="V111">
        <v>2</v>
      </c>
      <c r="X111" s="13" t="s">
        <v>114</v>
      </c>
      <c r="Z111" t="s">
        <v>121</v>
      </c>
      <c r="AA111" s="8" t="s">
        <v>119</v>
      </c>
      <c r="AB111" t="s">
        <v>119</v>
      </c>
      <c r="AC111" s="8" t="s">
        <v>119</v>
      </c>
    </row>
    <row r="112" spans="1:29" x14ac:dyDescent="0.25">
      <c r="A112" s="10" t="s">
        <v>248</v>
      </c>
      <c r="B112" t="s">
        <v>99</v>
      </c>
      <c r="C112" s="10" t="s">
        <v>100</v>
      </c>
      <c r="D112" s="6">
        <v>45970</v>
      </c>
      <c r="E112" s="5" t="str">
        <f t="shared" si="1"/>
        <v>novembre</v>
      </c>
      <c r="F112" s="10" t="s">
        <v>25</v>
      </c>
      <c r="G112" s="12" t="s">
        <v>30</v>
      </c>
      <c r="H112" s="12" t="s">
        <v>32</v>
      </c>
      <c r="I112" s="10" t="s">
        <v>32</v>
      </c>
      <c r="K112" s="12" t="s">
        <v>27</v>
      </c>
      <c r="L112" s="10" t="s">
        <v>205</v>
      </c>
      <c r="O112">
        <v>388</v>
      </c>
      <c r="P112">
        <v>357</v>
      </c>
      <c r="T112">
        <v>876</v>
      </c>
      <c r="U112" t="s">
        <v>50</v>
      </c>
      <c r="V112">
        <v>2</v>
      </c>
      <c r="X112" s="13" t="s">
        <v>114</v>
      </c>
      <c r="Z112" t="s">
        <v>121</v>
      </c>
      <c r="AA112" s="8" t="s">
        <v>119</v>
      </c>
      <c r="AB112" t="s">
        <v>119</v>
      </c>
      <c r="AC112" s="8" t="s">
        <v>119</v>
      </c>
    </row>
    <row r="113" spans="1:29" x14ac:dyDescent="0.25">
      <c r="A113" s="10" t="s">
        <v>249</v>
      </c>
      <c r="B113" t="s">
        <v>99</v>
      </c>
      <c r="C113" s="10" t="s">
        <v>100</v>
      </c>
      <c r="D113" s="6">
        <v>45970</v>
      </c>
      <c r="E113" s="5" t="str">
        <f t="shared" si="1"/>
        <v>novembre</v>
      </c>
      <c r="F113" s="10" t="s">
        <v>25</v>
      </c>
      <c r="G113" s="12" t="s">
        <v>30</v>
      </c>
      <c r="H113" s="12" t="s">
        <v>32</v>
      </c>
      <c r="I113" s="10" t="s">
        <v>32</v>
      </c>
      <c r="K113" s="12" t="s">
        <v>27</v>
      </c>
      <c r="L113" s="10" t="s">
        <v>205</v>
      </c>
      <c r="O113">
        <v>395</v>
      </c>
      <c r="P113">
        <v>360</v>
      </c>
      <c r="T113">
        <v>842</v>
      </c>
      <c r="U113" t="s">
        <v>50</v>
      </c>
      <c r="V113">
        <v>2</v>
      </c>
      <c r="X113" s="13" t="s">
        <v>114</v>
      </c>
      <c r="Z113" t="s">
        <v>121</v>
      </c>
      <c r="AA113" s="8" t="s">
        <v>119</v>
      </c>
      <c r="AB113" t="s">
        <v>119</v>
      </c>
      <c r="AC113" s="8" t="s">
        <v>119</v>
      </c>
    </row>
    <row r="114" spans="1:29" x14ac:dyDescent="0.25">
      <c r="A114" s="10" t="s">
        <v>250</v>
      </c>
      <c r="B114" t="s">
        <v>99</v>
      </c>
      <c r="C114" s="10" t="s">
        <v>100</v>
      </c>
      <c r="D114" s="6">
        <v>45970</v>
      </c>
      <c r="E114" s="5" t="str">
        <f t="shared" si="1"/>
        <v>novembre</v>
      </c>
      <c r="F114" s="10" t="s">
        <v>25</v>
      </c>
      <c r="G114" s="12" t="s">
        <v>30</v>
      </c>
      <c r="H114" s="12" t="s">
        <v>32</v>
      </c>
      <c r="I114" s="10" t="s">
        <v>32</v>
      </c>
      <c r="K114" s="12" t="s">
        <v>27</v>
      </c>
      <c r="L114" s="10" t="s">
        <v>205</v>
      </c>
      <c r="O114">
        <v>444</v>
      </c>
      <c r="P114">
        <v>403</v>
      </c>
      <c r="T114">
        <v>1242</v>
      </c>
      <c r="U114" t="s">
        <v>50</v>
      </c>
      <c r="V114">
        <v>2</v>
      </c>
      <c r="X114" s="13" t="s">
        <v>114</v>
      </c>
      <c r="Z114" t="s">
        <v>121</v>
      </c>
      <c r="AA114" s="8" t="s">
        <v>119</v>
      </c>
      <c r="AB114" t="s">
        <v>119</v>
      </c>
      <c r="AC114" s="8" t="s">
        <v>119</v>
      </c>
    </row>
    <row r="115" spans="1:29" x14ac:dyDescent="0.25">
      <c r="A115" s="10" t="s">
        <v>251</v>
      </c>
      <c r="B115" t="s">
        <v>99</v>
      </c>
      <c r="C115" s="10" t="s">
        <v>100</v>
      </c>
      <c r="D115" s="6">
        <v>45970</v>
      </c>
      <c r="E115" s="5" t="str">
        <f t="shared" si="1"/>
        <v>novembre</v>
      </c>
      <c r="F115" s="10" t="s">
        <v>25</v>
      </c>
      <c r="G115" s="12" t="s">
        <v>30</v>
      </c>
      <c r="H115" s="12" t="s">
        <v>32</v>
      </c>
      <c r="I115" s="10" t="s">
        <v>32</v>
      </c>
      <c r="K115" s="12" t="s">
        <v>27</v>
      </c>
      <c r="L115" s="10" t="s">
        <v>205</v>
      </c>
      <c r="O115">
        <v>350</v>
      </c>
      <c r="P115">
        <v>330</v>
      </c>
      <c r="T115">
        <v>618</v>
      </c>
      <c r="U115" t="s">
        <v>50</v>
      </c>
      <c r="V115">
        <v>2</v>
      </c>
      <c r="X115" s="13" t="s">
        <v>114</v>
      </c>
      <c r="Z115" t="s">
        <v>121</v>
      </c>
      <c r="AA115" s="8" t="s">
        <v>119</v>
      </c>
      <c r="AB115" t="s">
        <v>119</v>
      </c>
      <c r="AC115" s="8" t="s">
        <v>119</v>
      </c>
    </row>
    <row r="116" spans="1:29" x14ac:dyDescent="0.25">
      <c r="A116" s="10" t="s">
        <v>258</v>
      </c>
      <c r="B116" t="s">
        <v>163</v>
      </c>
      <c r="C116" s="10" t="s">
        <v>164</v>
      </c>
      <c r="D116" s="6">
        <v>45970</v>
      </c>
      <c r="E116" s="5" t="str">
        <f t="shared" si="1"/>
        <v>novembre</v>
      </c>
      <c r="F116" s="10" t="s">
        <v>25</v>
      </c>
      <c r="G116" s="12" t="s">
        <v>30</v>
      </c>
      <c r="H116" s="12" t="s">
        <v>32</v>
      </c>
      <c r="I116" s="10" t="s">
        <v>32</v>
      </c>
      <c r="K116" s="12" t="s">
        <v>27</v>
      </c>
      <c r="L116" s="10" t="s">
        <v>205</v>
      </c>
      <c r="O116">
        <v>424</v>
      </c>
      <c r="P116">
        <v>424</v>
      </c>
      <c r="U116" t="s">
        <v>39</v>
      </c>
      <c r="Z116" t="s">
        <v>121</v>
      </c>
      <c r="AA116" s="8" t="s">
        <v>119</v>
      </c>
      <c r="AB116" t="s">
        <v>119</v>
      </c>
      <c r="AC116" s="8" t="s">
        <v>119</v>
      </c>
    </row>
    <row r="117" spans="1:29" x14ac:dyDescent="0.25">
      <c r="A117" s="10" t="s">
        <v>137</v>
      </c>
      <c r="B117" t="s">
        <v>28</v>
      </c>
      <c r="C117" s="10" t="s">
        <v>35</v>
      </c>
      <c r="D117" s="6">
        <v>45970</v>
      </c>
      <c r="E117" s="5" t="str">
        <f t="shared" si="1"/>
        <v>novembre</v>
      </c>
      <c r="F117" s="10" t="s">
        <v>25</v>
      </c>
      <c r="G117" s="12" t="s">
        <v>30</v>
      </c>
      <c r="H117" s="12" t="s">
        <v>32</v>
      </c>
      <c r="I117" s="10" t="s">
        <v>32</v>
      </c>
      <c r="K117" s="12" t="s">
        <v>27</v>
      </c>
      <c r="L117" s="10" t="s">
        <v>205</v>
      </c>
      <c r="O117">
        <v>545</v>
      </c>
      <c r="P117">
        <v>516</v>
      </c>
      <c r="U117" t="s">
        <v>259</v>
      </c>
      <c r="V117">
        <v>2</v>
      </c>
      <c r="X117" s="13" t="s">
        <v>114</v>
      </c>
      <c r="Z117" t="s">
        <v>123</v>
      </c>
      <c r="AA117" s="8" t="s">
        <v>119</v>
      </c>
      <c r="AB117" t="s">
        <v>119</v>
      </c>
      <c r="AC117" s="8" t="s">
        <v>119</v>
      </c>
    </row>
    <row r="118" spans="1:29" x14ac:dyDescent="0.25">
      <c r="A118" s="10" t="s">
        <v>252</v>
      </c>
      <c r="B118" t="s">
        <v>254</v>
      </c>
      <c r="C118" s="10" t="s">
        <v>255</v>
      </c>
      <c r="D118" s="6">
        <v>45984</v>
      </c>
      <c r="E118" s="5" t="str">
        <f t="shared" si="1"/>
        <v>novembre</v>
      </c>
      <c r="F118" s="10" t="s">
        <v>25</v>
      </c>
      <c r="G118" s="12" t="s">
        <v>257</v>
      </c>
      <c r="H118" s="12" t="s">
        <v>32</v>
      </c>
      <c r="I118" s="10" t="s">
        <v>32</v>
      </c>
      <c r="K118" s="12" t="s">
        <v>27</v>
      </c>
      <c r="L118" s="10" t="s">
        <v>165</v>
      </c>
      <c r="O118">
        <v>466</v>
      </c>
      <c r="P118">
        <v>394</v>
      </c>
      <c r="U118" t="s">
        <v>259</v>
      </c>
      <c r="V118">
        <v>2</v>
      </c>
      <c r="X118" s="13" t="s">
        <v>114</v>
      </c>
      <c r="Z118" t="s">
        <v>121</v>
      </c>
      <c r="AA118" s="8" t="s">
        <v>119</v>
      </c>
      <c r="AB118" t="s">
        <v>115</v>
      </c>
      <c r="AC118" s="8" t="s">
        <v>119</v>
      </c>
    </row>
    <row r="119" spans="1:29" x14ac:dyDescent="0.25">
      <c r="A119" s="10" t="s">
        <v>253</v>
      </c>
      <c r="B119" t="s">
        <v>54</v>
      </c>
      <c r="C119" s="10" t="s">
        <v>256</v>
      </c>
      <c r="D119" s="6">
        <v>45984</v>
      </c>
      <c r="E119" s="5" t="str">
        <f t="shared" si="1"/>
        <v>novembre</v>
      </c>
      <c r="F119" s="10" t="s">
        <v>25</v>
      </c>
      <c r="G119" s="12" t="s">
        <v>257</v>
      </c>
      <c r="H119" s="12" t="s">
        <v>32</v>
      </c>
      <c r="I119" s="10" t="s">
        <v>32</v>
      </c>
      <c r="K119" s="12" t="s">
        <v>27</v>
      </c>
      <c r="L119" s="10" t="s">
        <v>165</v>
      </c>
      <c r="O119">
        <v>450</v>
      </c>
      <c r="P119">
        <v>450</v>
      </c>
      <c r="U119" t="s">
        <v>39</v>
      </c>
      <c r="Z119" t="s">
        <v>121</v>
      </c>
      <c r="AA119" s="8" t="s">
        <v>119</v>
      </c>
      <c r="AB119" t="s">
        <v>115</v>
      </c>
      <c r="AC119" s="8" t="s">
        <v>119</v>
      </c>
    </row>
    <row r="120" spans="1:29" x14ac:dyDescent="0.25">
      <c r="A120" s="10" t="s">
        <v>260</v>
      </c>
      <c r="B120" t="s">
        <v>110</v>
      </c>
      <c r="C120" s="10" t="s">
        <v>111</v>
      </c>
      <c r="D120" s="6">
        <v>45991</v>
      </c>
      <c r="E120" s="5" t="str">
        <f t="shared" si="1"/>
        <v>novembre</v>
      </c>
      <c r="F120" s="10" t="s">
        <v>25</v>
      </c>
      <c r="G120" s="12" t="s">
        <v>264</v>
      </c>
      <c r="H120" s="12" t="s">
        <v>32</v>
      </c>
      <c r="I120" s="10" t="s">
        <v>32</v>
      </c>
      <c r="K120" s="12" t="s">
        <v>142</v>
      </c>
      <c r="L120" s="10" t="s">
        <v>265</v>
      </c>
      <c r="O120">
        <v>936</v>
      </c>
      <c r="P120">
        <v>809</v>
      </c>
      <c r="U120" t="s">
        <v>39</v>
      </c>
      <c r="Z120" t="s">
        <v>121</v>
      </c>
      <c r="AA120" s="8" t="s">
        <v>119</v>
      </c>
      <c r="AB120" t="s">
        <v>119</v>
      </c>
      <c r="AC120" s="8" t="s">
        <v>119</v>
      </c>
    </row>
    <row r="121" spans="1:29" x14ac:dyDescent="0.25">
      <c r="A121" s="10" t="s">
        <v>261</v>
      </c>
      <c r="B121" t="s">
        <v>262</v>
      </c>
      <c r="C121" s="10" t="s">
        <v>263</v>
      </c>
      <c r="D121" s="6">
        <v>45991</v>
      </c>
      <c r="E121" s="5" t="str">
        <f t="shared" si="1"/>
        <v>novembre</v>
      </c>
      <c r="F121" s="10" t="s">
        <v>25</v>
      </c>
      <c r="G121" s="12" t="s">
        <v>264</v>
      </c>
      <c r="H121" s="12" t="s">
        <v>32</v>
      </c>
      <c r="I121" s="10" t="s">
        <v>32</v>
      </c>
      <c r="K121" s="12" t="s">
        <v>142</v>
      </c>
      <c r="L121" s="10" t="s">
        <v>265</v>
      </c>
      <c r="O121">
        <v>628</v>
      </c>
      <c r="P121">
        <v>571</v>
      </c>
      <c r="U121" t="s">
        <v>39</v>
      </c>
      <c r="Z121" t="s">
        <v>121</v>
      </c>
      <c r="AA121" s="8" t="s">
        <v>119</v>
      </c>
      <c r="AB121" t="s">
        <v>115</v>
      </c>
      <c r="AC121" s="8" t="s">
        <v>119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Wakefield</dc:creator>
  <cp:lastModifiedBy>Alexandre Pons</cp:lastModifiedBy>
  <dcterms:created xsi:type="dcterms:W3CDTF">2025-07-18T02:02:52Z</dcterms:created>
  <dcterms:modified xsi:type="dcterms:W3CDTF">2025-12-04T23:20:18Z</dcterms:modified>
</cp:coreProperties>
</file>